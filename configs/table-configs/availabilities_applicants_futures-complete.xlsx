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Dev/Nuxt/EE_manager/configs/table-configs/"/>
    </mc:Choice>
  </mc:AlternateContent>
  <xr:revisionPtr revIDLastSave="0" documentId="13_ncr:1_{A6D4DEC8-8146-AA42-8412-36F00D5A29C0}" xr6:coauthVersionLast="47" xr6:coauthVersionMax="47" xr10:uidLastSave="{00000000-0000-0000-0000-000000000000}"/>
  <bookViews>
    <workbookView xWindow="37100" yWindow="8460" windowWidth="39200" windowHeight="3474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<sst xmlns="http://schemas.openxmlformats.org/spreadsheetml/2006/main" count="329" uniqueCount="198">
  <si>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</si>
  <si>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</si>
  <si>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</si>
  <si>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</si>
  <si>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</si>
  <si>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</si>
  <si>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</si>
  <si>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</si>
  <si>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</si>
  <si>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</si>
  <si>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Parameter</t>
  </si>
  <si>
    <t>Value</t>
  </si>
  <si>
    <t>table_name</t>
  </si>
  <si>
    <t>example</t>
  </si>
  <si>
    <t>file_path</t>
  </si>
  <si>
    <t>layers/ops/pages/example/index.vue</t>
  </si>
  <si>
    <t>has_filter_groups</t>
  </si>
  <si>
    <t>FALSE</t>
  </si>
  <si>
    <t>default_sort_field</t>
  </si>
  <si>
    <t>id</t>
  </si>
  <si>
    <t>default_sort_direction</t>
  </si>
  <si>
    <t>asc</t>
  </si>
  <si>
    <t>enable_pagination</t>
  </si>
  <si>
    <t>TRUE</t>
  </si>
  <si>
    <t>page_size</t>
  </si>
  <si>
    <t>enable_export</t>
  </si>
  <si>
    <t>clickable_rows</t>
  </si>
  <si>
    <t>group_name</t>
  </si>
  <si>
    <t>description</t>
  </si>
  <si>
    <t>all</t>
  </si>
  <si>
    <t>All Items</t>
  </si>
  <si>
    <t>Show all records</t>
  </si>
  <si>
    <t>Priority</t>
  </si>
  <si>
    <t>Max Cumulative Width</t>
  </si>
  <si>
    <t>Breakpoint</t>
  </si>
  <si>
    <t>Devices</t>
  </si>
  <si>
    <t>P1</t>
  </si>
  <si>
    <t>350px</t>
  </si>
  <si>
    <t>base (no class)</t>
  </si>
  <si>
    <t>Phone (portrait)</t>
  </si>
  <si>
    <t>P2</t>
  </si>
  <si>
    <t>780px</t>
  </si>
  <si>
    <t>md: (768px+)</t>
  </si>
  <si>
    <t>Tablet (portrait), Phone (landscape)</t>
  </si>
  <si>
    <t>P3</t>
  </si>
  <si>
    <t>1140px</t>
  </si>
  <si>
    <t>lg: (1024px+)</t>
  </si>
  <si>
    <t>Tablet (landscape), Desktop</t>
  </si>
  <si>
    <t>P4</t>
  </si>
  <si>
    <t>1880px</t>
  </si>
  <si>
    <t>xl: (1280px+)</t>
  </si>
  <si>
    <t>QHD, 4K (scaled) ⭐</t>
  </si>
  <si>
    <t>P5</t>
  </si>
  <si>
    <t>2520px</t>
  </si>
  <si>
    <t>2xl: (1536px+)</t>
  </si>
  <si>
    <t>4K (native), Ultra-wide</t>
  </si>
  <si>
    <t>Table Configuration Template - Instructions</t>
  </si>
  <si>
    <t/>
  </si>
  <si>
    <t>QUICK START:</t>
  </si>
  <si>
    <t>1. Go to "Table Configuration" sheet and fill in table metadata (name, file path, etc.)</t>
  </si>
  <si>
    <t>2. Go to "Column Definitions" sheet and add one row per column</t>
  </si>
  <si>
    <t>3. Fill in: key, label, width, sortable, align</t>
  </si>
  <si>
    <t>4. Priority auto-calculates based on cumulative width</t>
  </si>
  <si>
    <t>5. Set roles/departments/filter_groups (or use "all")</t>
  </si>
  <si>
    <t>6. Run: node --loader tsx utils/table-config-parser.ts path/to/your-file.xlsx</t>
  </si>
  <si>
    <t>COLUMN DEFINITIONS:</t>
  </si>
  <si>
    <t>- key: Column identifier for TypeScript (e.g., unit_name)</t>
  </si>
  <si>
    <t>- label: Display label in table header (e.g., "Unit")</t>
  </si>
  <si>
    <t>- width: Column width in pixels (e.g., 120)</t>
  </si>
  <si>
    <t>- sortable: TRUE or FALSE</t>
  </si>
  <si>
    <t>- align: left, center, right, or blank</t>
  </si>
  <si>
    <t>- priority: AUTO-CALCULATED - Do not edit manually!</t>
  </si>
  <si>
    <t>- roles: Comma-separated roles or "all" (e.g., admin,finance)</t>
  </si>
  <si>
    <t>- departments: Comma-separated departments or "all" (e.g., operations,leasing)</t>
  </si>
  <si>
    <t>- filter_groups: Comma-separated filter groups or "all" (e.g., available,all)</t>
  </si>
  <si>
    <t>- notes: Your comments/reasoning (e.g., "Contact PII")</t>
  </si>
  <si>
    <t>PRIORITY AUTO-CALCULATION:</t>
  </si>
  <si>
    <t>The priority column uses this formula:</t>
  </si>
  <si>
    <t>=IF(SUM($C$2:C2)&lt;=350,"P1",IF(SUM($C$2:C2)&lt;=780,"P2",IF(SUM($C$2:C2)&lt;=1140,"P3",IF(SUM($C$2:C2)&lt;=1880,"P4","P5"))))</t>
  </si>
  <si>
    <t>It calculates cumulative width from first column to current row:</t>
  </si>
  <si>
    <t>- P1: 0-350px (mobile - always visible)</t>
  </si>
  <si>
    <t>- P2: 351-780px (tablet+)</t>
  </si>
  <si>
    <t>- P3: 781-1140px (desktop basic)</t>
  </si>
  <si>
    <t>- P4: 1141-1880px (QHD baseline ⭐)</t>
  </si>
  <si>
    <t>- P5: 1881px+ (4K enhanced)</t>
  </si>
  <si>
    <t>COLUMN WIDTH GUIDELINES:</t>
  </si>
  <si>
    <t>- Narrow: 60-90px (Status, Icon, Checkbox, ID)</t>
  </si>
  <si>
    <t>- Medium: 100-150px (Unit Name, Code, Short Text)</t>
  </si>
  <si>
    <t>- Wide: 150-250px (Names, Emails, Addresses)</t>
  </si>
  <si>
    <t>- Actions: 100-120px (Dropdown, Buttons)</t>
  </si>
  <si>
    <t>- Average: ~130px</t>
  </si>
  <si>
    <t>PRIORITY DISTRIBUTION TARGETS:</t>
  </si>
  <si>
    <t>- P1: 2-3 columns (~250-350px) - Bare minimum for identification</t>
  </si>
  <si>
    <t>- P2: +3-4 columns (~650-780px) - Essential context</t>
  </si>
  <si>
    <t>- P3: +2-3 columns (~950-1140px) - Key operational data</t>
  </si>
  <si>
    <t>- P4: +4-5 columns (~1500-1880px) - Full dataset (QHD baseline)</t>
  </si>
  <si>
    <t>- P5: +4-5 columns (~2000-2520px) - Maximum detail (4K)</t>
  </si>
  <si>
    <t>ROLE/DEPARTMENT RESTRICTIONS:</t>
  </si>
  <si>
    <t>When to restrict:</t>
  </si>
  <si>
    <t>- PII (emails, phones) → leasing, operations, admin only</t>
  </si>
  <si>
    <t>- Financial data (costs, concessions) → finance, admin only</t>
  </si>
  <si>
    <t>- Metadata (created_at, updated_at) → admin only</t>
  </si>
  <si>
    <t>- Assignments (leasing agent, tech) → relevant departments only</t>
  </si>
  <si>
    <t>When NOT to restrict:</t>
  </si>
  <si>
    <t>- Core identification (unit, name, status)</t>
  </si>
  <si>
    <t>- Basic context (building, floor plan)</t>
  </si>
  <si>
    <t>- Operational dates (move-in, lease end)</t>
  </si>
  <si>
    <t>FILTER GROUPS:</t>
  </si>
  <si>
    <t>Use filter groups when:</t>
  </si>
  <si>
    <t>- Table has distinct "modes" or "views" (Available/Applied/Leased)</t>
  </si>
  <si>
    <t>- Column relevance varies by context</t>
  </si>
  <si>
    <t>- You want to reduce visual clutter</t>
  </si>
  <si>
    <t>If using filter groups:</t>
  </si>
  <si>
    <t>1. Set "has_filter_groups = TRUE" in Table Configuration sheet</t>
  </si>
  <si>
    <t>2. Go to "Filter Groups" sheet and define each group</t>
  </si>
  <si>
    <t>3. In Column Definitions, specify which groups each column belongs to</t>
  </si>
  <si>
    <t>OUTPUT:</t>
  </si>
  <si>
    <t>The parser will generate a .generated.ts file with:</t>
  </si>
  <si>
    <t>- Formatted column definitions with priority sections</t>
  </si>
  <si>
    <t>- Filter group mappings (if applicable)</t>
  </si>
  <si>
    <t>- Role-based column visibility rules</t>
  </si>
  <si>
    <t>- Department-based column visibility rules</t>
  </si>
  <si>
    <t>Copy the generated code into your Vue component and customize the cell templates.</t>
  </si>
  <si>
    <t>For detailed documentation, see: /docs/tools/EXCEL_TABLE_CONFIG_TEMPLATE.md</t>
  </si>
  <si>
    <t>unit_name</t>
  </si>
  <si>
    <t>Unit</t>
  </si>
  <si>
    <t>center</t>
  </si>
  <si>
    <t>Unit identifier with color-coded vacancy status</t>
  </si>
  <si>
    <t>floor_plan_name</t>
  </si>
  <si>
    <t>Floor Plan</t>
  </si>
  <si>
    <t>left</t>
  </si>
  <si>
    <t>Marketing name of floor plan</t>
  </si>
  <si>
    <t>sf</t>
  </si>
  <si>
    <t>SF</t>
  </si>
  <si>
    <t>right</t>
  </si>
  <si>
    <t>Square footage</t>
  </si>
  <si>
    <t>b_b</t>
  </si>
  <si>
    <t>Beds/Baths</t>
  </si>
  <si>
    <t>Bedroom x Bathroom (e.g., 2x2, 1x1)</t>
  </si>
  <si>
    <t>status</t>
  </si>
  <si>
    <t>Status</t>
  </si>
  <si>
    <t>Available, Applied, or Leased</t>
  </si>
  <si>
    <t>market_base_rent</t>
  </si>
  <si>
    <t>Market Rent</t>
  </si>
  <si>
    <t xml:space="preserve"> </t>
  </si>
  <si>
    <t>temp_amenities_total</t>
  </si>
  <si>
    <t>Temp Amenities</t>
  </si>
  <si>
    <t>Sum of temporary amenities (premiums + discounts)</t>
  </si>
  <si>
    <t>concession_total_pct</t>
  </si>
  <si>
    <t>Total Concession %</t>
  </si>
  <si>
    <t>A% - Total concessions as % of market rent</t>
  </si>
  <si>
    <t>concession_upfront_amount</t>
  </si>
  <si>
    <t>Upfront $</t>
  </si>
  <si>
    <t>Upfront dollar concession (e.g., $500 move-in special)</t>
  </si>
  <si>
    <t>concession_free_rent_days</t>
  </si>
  <si>
    <t>Upfront Days</t>
  </si>
  <si>
    <t>concession_display_calc</t>
  </si>
  <si>
    <t>C%/A%</t>
  </si>
  <si>
    <t>Concession display (e.g., 5.0%/8.5%)</t>
  </si>
  <si>
    <t>pricing_comment</t>
  </si>
  <si>
    <t>Pricing Note</t>
  </si>
  <si>
    <t>Manager,RPM, Asset</t>
  </si>
  <si>
    <t>Latest pricing override comment/note</t>
  </si>
  <si>
    <t>resident_name</t>
  </si>
  <si>
    <t>Resident</t>
  </si>
  <si>
    <t>Primary resident/applicant name</t>
  </si>
  <si>
    <t>application_date</t>
  </si>
  <si>
    <t>Applied</t>
  </si>
  <si>
    <t>Application submission date</t>
  </si>
  <si>
    <t>screening_result</t>
  </si>
  <si>
    <t>Screening</t>
  </si>
  <si>
    <t>Application screening result</t>
  </si>
  <si>
    <t>move_out_date</t>
  </si>
  <si>
    <t>Move Out</t>
  </si>
  <si>
    <t>Previous resident move-out date</t>
  </si>
  <si>
    <t>move_in_date</t>
  </si>
  <si>
    <t>Move-In</t>
  </si>
  <si>
    <t>Scheduled/actual move-in date</t>
  </si>
  <si>
    <t>leasing_agent</t>
  </si>
  <si>
    <t>Agent</t>
  </si>
  <si>
    <t>Assigned leasing agent</t>
  </si>
  <si>
    <t>lease_start_date</t>
  </si>
  <si>
    <t>Lease Start</t>
  </si>
  <si>
    <t>Lease start date</t>
  </si>
  <si>
    <t>lease_end_date</t>
  </si>
  <si>
    <t>Lease End</t>
  </si>
  <si>
    <t>Lease end date</t>
  </si>
  <si>
    <t>lease_rent_amount</t>
  </si>
  <si>
    <t>Lease Rent</t>
  </si>
  <si>
    <t>Executed lease rent amount</t>
  </si>
  <si>
    <t>building_name</t>
  </si>
  <si>
    <t>Building</t>
  </si>
  <si>
    <t>Building name (clickable link)</t>
  </si>
  <si>
    <t>resident_email</t>
  </si>
  <si>
    <t>Email</t>
  </si>
  <si>
    <t>Resident email address (PII)</t>
  </si>
  <si>
    <t>resident_phone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</si>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</sst>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="160" zoomScaleNormal="160" workbookViewId="0">
      <selection activeCell="A4" sqref="A4:XFD4"/>
    </sheetView>
  </sheetViews>
  <sheetFormatPr baseColWidth="10" defaultRowHeight="16" x14ac:dyDescent="0.2"/>
  <cols>
    <col min="1" max="1" width="26.33203125" customWidth="1"/>
    <col min="2" max="2" width="20.83203125" customWidth="1"/>
    <col min="3" max="6" width="10.83203125" customWidth="1"/>
    <col min="7" max="7" width="20.83203125" customWidth="1"/>
    <col min="8" max="8" width="13.5" customWidth="1"/>
    <col min="9" max="9" width="12.6640625" customWidth="1"/>
    <col min="10" max="10" width="30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124</v>
      </c>
      <c r="B2" t="s">
        <v>125</v>
      </c>
      <c r="C2">
        <v>80</v>
      </c>
      <c r="D2" t="s">
        <v>23</v>
      </c>
      <c r="E2" t="s">
        <v>126</v>
      </c>
      <c r="F2" t="str">
        <f>IF(SUM($C$2:C2)&lt;=350,"P1",IF(SUM($C$2:C2)&lt;=780,"P2",IF(SUM($C$2:C2)&lt;=1140,"P3",IF(SUM($C$2:C2)&lt;=1880,"P4","P5"))))</f>
        <v>P1</v>
      </c>
      <c r="G2" t="s">
        <v>29</v>
      </c>
      <c r="H2" t="s">
        <v>29</v>
      </c>
      <c r="I2" t="s">
        <v>29</v>
      </c>
      <c r="J2" t="s">
        <v>127</v>
      </c>
    </row>
    <row r="3" spans="1:10" x14ac:dyDescent="0.2">
      <c r="A3" t="s">
        <v>190</v>
      </c>
      <c r="B3" t="s">
        <v>191</v>
      </c>
      <c r="C3">
        <v>120</v>
      </c>
      <c r="D3" t="s">
        <v>23</v>
      </c>
      <c r="E3" t="s">
        <v>130</v>
      </c>
      <c r="F3" t="str">
        <f>IF(SUM($C$2:C3)&lt;=350,"P1",IF(SUM($C$2:C3)&lt;=780,"P2",IF(SUM($C$2:C3)&lt;=1140,"P3",IF(SUM($C$2:C3)&lt;=1880,"P4","P5"))))</f>
        <v>P1</v>
      </c>
      <c r="G3" t="s">
        <v>29</v>
      </c>
      <c r="H3" t="s">
        <v>29</v>
      </c>
      <c r="I3" t="s">
        <v>29</v>
      </c>
      <c r="J3" t="s">
        <v>192</v>
      </c>
    </row>
    <row r="4" spans="1:10" x14ac:dyDescent="0.2">
      <c r="A4" t="s">
        <v>128</v>
      </c>
      <c r="B4" t="s">
        <v>129</v>
      </c>
      <c r="C4">
        <v>120</v>
      </c>
      <c r="D4" t="s">
        <v>23</v>
      </c>
      <c r="E4" t="s">
        <v>130</v>
      </c>
      <c r="F4" t="str">
        <f>IF(SUM($C$2:C4)&lt;=350,"P1",IF(SUM($C$2:C4)&lt;=780,"P2",IF(SUM($C$2:C4)&lt;=1140,"P3",IF(SUM($C$2:C4)&lt;=1880,"P4","P5"))))</f>
        <v>P1</v>
      </c>
      <c r="G4" t="s">
        <v>29</v>
      </c>
      <c r="H4" t="s">
        <v>29</v>
      </c>
      <c r="I4" t="s">
        <v>29</v>
      </c>
      <c r="J4" t="s">
        <v>131</v>
      </c>
    </row>
    <row r="5" spans="1:10" x14ac:dyDescent="0.2">
      <c r="A5" t="s">
        <v>132</v>
      </c>
      <c r="B5" t="s">
        <v>133</v>
      </c>
      <c r="C5">
        <v>60</v>
      </c>
      <c r="D5" t="s">
        <v>23</v>
      </c>
      <c r="E5" t="s">
        <v>134</v>
      </c>
      <c r="F5" t="str">
        <f>IF(SUM($C$2:C5)&lt;=350,"P1",IF(SUM($C$2:C5)&lt;=780,"P2",IF(SUM($C$2:C5)&lt;=1140,"P3",IF(SUM($C$2:C5)&lt;=1880,"P4","P5"))))</f>
        <v>P2</v>
      </c>
      <c r="G5" t="s">
        <v>29</v>
      </c>
      <c r="H5" t="s">
        <v>29</v>
      </c>
      <c r="I5" t="s">
        <v>29</v>
      </c>
      <c r="J5" t="s">
        <v>135</v>
      </c>
    </row>
    <row r="6" spans="1:10" x14ac:dyDescent="0.2">
      <c r="A6" t="s">
        <v>136</v>
      </c>
      <c r="B6" t="s">
        <v>137</v>
      </c>
      <c r="C6">
        <v>60</v>
      </c>
      <c r="D6" t="s">
        <v>23</v>
      </c>
      <c r="E6" t="s">
        <v>126</v>
      </c>
      <c r="F6" t="str">
        <f>IF(SUM($C$2:C6)&lt;=350,"P1",IF(SUM($C$2:C6)&lt;=780,"P2",IF(SUM($C$2:C6)&lt;=1140,"P3",IF(SUM($C$2:C6)&lt;=1880,"P4","P5"))))</f>
        <v>P2</v>
      </c>
      <c r="G6" t="s">
        <v>29</v>
      </c>
      <c r="H6" t="s">
        <v>29</v>
      </c>
      <c r="I6" t="s">
        <v>29</v>
      </c>
      <c r="J6" t="s">
        <v>138</v>
      </c>
    </row>
    <row r="7" spans="1:10" x14ac:dyDescent="0.2">
      <c r="A7" t="s">
        <v>139</v>
      </c>
      <c r="B7" t="s">
        <v>140</v>
      </c>
      <c r="C7">
        <v>80</v>
      </c>
      <c r="D7" t="s">
        <v>23</v>
      </c>
      <c r="E7" t="s">
        <v>126</v>
      </c>
      <c r="F7" t="str">
        <f>IF(SUM($C$2:C7)&lt;=350,"P1",IF(SUM($C$2:C7)&lt;=780,"P2",IF(SUM($C$2:C7)&lt;=1140,"P3",IF(SUM($C$2:C7)&lt;=1880,"P4","P5"))))</f>
        <v>P2</v>
      </c>
      <c r="G7" t="s">
        <v>29</v>
      </c>
      <c r="H7" t="s">
        <v>29</v>
      </c>
      <c r="I7" t="s">
        <v>29</v>
      </c>
      <c r="J7" t="s">
        <v>141</v>
      </c>
    </row>
    <row r="8" spans="1:10" x14ac:dyDescent="0.2">
      <c r="A8" t="s">
        <v>142</v>
      </c>
      <c r="B8" t="s">
        <v>143</v>
      </c>
      <c r="C8">
        <v>80</v>
      </c>
      <c r="D8" t="s">
        <v>23</v>
      </c>
      <c r="E8" t="s">
        <v>134</v>
      </c>
      <c r="F8" t="str">
        <f>IF(SUM($C$2:C8)&lt;=350,"P1",IF(SUM($C$2:C8)&lt;=780,"P2",IF(SUM($C$2:C8)&lt;=1140,"P3",IF(SUM($C$2:C8)&lt;=1880,"P4","P5"))))</f>
        <v>P2</v>
      </c>
      <c r="G8" t="s">
        <v>29</v>
      </c>
      <c r="H8" t="s">
        <v>29</v>
      </c>
      <c r="I8" t="s">
        <v>29</v>
      </c>
      <c r="J8" t="s">
        <v>144</v>
      </c>
    </row>
    <row r="9" spans="1:10" x14ac:dyDescent="0.2">
      <c r="A9" t="s">
        <v>187</v>
      </c>
      <c r="B9" t="s">
        <v>188</v>
      </c>
      <c r="C9">
        <v>100</v>
      </c>
      <c r="D9" t="s">
        <v>23</v>
      </c>
      <c r="E9" t="s">
        <v>134</v>
      </c>
      <c r="F9" t="str">
        <f>IF(SUM($C$2:C9)&lt;=350,"P1",IF(SUM($C$2:C9)&lt;=780,"P2",IF(SUM($C$2:C9)&lt;=1140,"P3",IF(SUM($C$2:C9)&lt;=1880,"P4","P5"))))</f>
        <v>P2</v>
      </c>
      <c r="G9" t="s">
        <v>29</v>
      </c>
      <c r="H9" t="s">
        <v>29</v>
      </c>
      <c r="I9" t="s">
        <v>29</v>
      </c>
      <c r="J9" t="s">
        <v>189</v>
      </c>
    </row>
    <row r="10" spans="1:10" x14ac:dyDescent="0.2">
      <c r="A10" t="s">
        <v>145</v>
      </c>
      <c r="B10" t="s">
        <v>146</v>
      </c>
      <c r="C10">
        <v>100</v>
      </c>
      <c r="D10" t="s">
        <v>23</v>
      </c>
      <c r="E10" t="s">
        <v>134</v>
      </c>
      <c r="F10" t="str">
        <f>IF(SUM($C$2:C10)&lt;=350,"P1",IF(SUM($C$2:C10)&lt;=780,"P2",IF(SUM($C$2:C10)&lt;=1140,"P3",IF(SUM($C$2:C10)&lt;=1880,"P4","P5"))))</f>
        <v>P3</v>
      </c>
      <c r="G10" t="s">
        <v>29</v>
      </c>
      <c r="H10" t="s">
        <v>29</v>
      </c>
      <c r="I10" t="s">
        <v>29</v>
      </c>
      <c r="J10" t="s">
        <v>147</v>
      </c>
    </row>
    <row r="11" spans="1:10" x14ac:dyDescent="0.2">
      <c r="A11" t="s">
        <v>148</v>
      </c>
      <c r="B11" t="s">
        <v>149</v>
      </c>
      <c r="C11">
        <v>130</v>
      </c>
      <c r="D11" t="s">
        <v>23</v>
      </c>
      <c r="E11" t="s">
        <v>126</v>
      </c>
      <c r="F11" t="str">
        <f>IF(SUM($C$2:C11)&lt;=350,"P1",IF(SUM($C$2:C11)&lt;=780,"P2",IF(SUM($C$2:C11)&lt;=1140,"P3",IF(SUM($C$2:C11)&lt;=1880,"P4","P5"))))</f>
        <v>P3</v>
      </c>
      <c r="G11" t="s">
        <v>29</v>
      </c>
      <c r="H11" t="s">
        <v>29</v>
      </c>
      <c r="I11" t="s">
        <v>29</v>
      </c>
      <c r="J11" t="s">
        <v>150</v>
      </c>
    </row>
    <row r="12" spans="1:10" x14ac:dyDescent="0.2">
      <c r="A12" t="s">
        <v>151</v>
      </c>
      <c r="B12" t="s">
        <v>152</v>
      </c>
      <c r="C12">
        <v>100</v>
      </c>
      <c r="D12" t="s">
        <v>23</v>
      </c>
      <c r="E12" t="s">
        <v>134</v>
      </c>
      <c r="F12" t="str">
        <f>IF(SUM($C$2:C12)&lt;=350,"P1",IF(SUM($C$2:C12)&lt;=780,"P2",IF(SUM($C$2:C12)&lt;=1140,"P3",IF(SUM($C$2:C12)&lt;=1880,"P4","P5"))))</f>
        <v>P3</v>
      </c>
      <c r="G12" t="s">
        <v>29</v>
      </c>
      <c r="H12" t="s">
        <v>29</v>
      </c>
      <c r="I12" t="s">
        <v>29</v>
      </c>
      <c r="J12" t="s">
        <v>153</v>
      </c>
    </row>
    <row r="13" spans="1:10" x14ac:dyDescent="0.2">
      <c r="A13" t="s">
        <v>154</v>
      </c>
      <c r="B13" t="s">
        <v>155</v>
      </c>
      <c r="C13">
        <v>100</v>
      </c>
      <c r="D13" t="s">
        <v>23</v>
      </c>
      <c r="E13" t="s">
        <v>134</v>
      </c>
      <c r="F13" t="str">
        <f>IF(SUM($C$2:C13)&lt;=350,"P1",IF(SUM($C$2:C13)&lt;=780,"P2",IF(SUM($C$2:C13)&lt;=1140,"P3",IF(SUM($C$2:C13)&lt;=1880,"P4","P5"))))</f>
        <v>P3</v>
      </c>
      <c r="G13" t="s">
        <v>29</v>
      </c>
      <c r="H13" t="s">
        <v>29</v>
      </c>
      <c r="I13" t="s">
        <v>29</v>
      </c>
      <c r="J13" t="s">
        <v>153</v>
      </c>
    </row>
    <row r="14" spans="1:10" x14ac:dyDescent="0.2">
      <c r="A14" t="s">
        <v>156</v>
      </c>
      <c r="B14" t="s">
        <v>157</v>
      </c>
      <c r="C14">
        <v>90</v>
      </c>
      <c r="D14" t="s">
        <v>23</v>
      </c>
      <c r="E14" t="s">
        <v>126</v>
      </c>
      <c r="F14" t="str">
        <f>IF(SUM($C$2:C14)&lt;=350,"P1",IF(SUM($C$2:C14)&lt;=780,"P2",IF(SUM($C$2:C14)&lt;=1140,"P3",IF(SUM($C$2:C14)&lt;=1880,"P4","P5"))))</f>
        <v>P4</v>
      </c>
      <c r="G14" t="s">
        <v>29</v>
      </c>
      <c r="H14" t="s">
        <v>29</v>
      </c>
      <c r="I14" t="s">
        <v>29</v>
      </c>
      <c r="J14" t="s">
        <v>158</v>
      </c>
    </row>
    <row r="15" spans="1:10" x14ac:dyDescent="0.2">
      <c r="A15" t="s">
        <v>159</v>
      </c>
      <c r="B15" t="s">
        <v>160</v>
      </c>
      <c r="C15">
        <v>150</v>
      </c>
      <c r="D15" t="s">
        <v>17</v>
      </c>
      <c r="E15" t="s">
        <v>130</v>
      </c>
      <c r="F15" t="str">
        <f>IF(SUM($C$2:C15)&lt;=350,"P1",IF(SUM($C$2:C15)&lt;=780,"P2",IF(SUM($C$2:C15)&lt;=1140,"P3",IF(SUM($C$2:C15)&lt;=1880,"P4","P5"))))</f>
        <v>P4</v>
      </c>
      <c r="G15" t="s">
        <v>29</v>
      </c>
      <c r="H15" t="s">
        <v>29</v>
      </c>
      <c r="I15" t="s">
        <v>29</v>
      </c>
      <c r="J15" t="s">
        <v>162</v>
      </c>
    </row>
    <row r="16" spans="1:10" x14ac:dyDescent="0.2">
      <c r="A16" t="s">
        <v>166</v>
      </c>
      <c r="B16" t="s">
        <v>167</v>
      </c>
      <c r="C16">
        <v>100</v>
      </c>
      <c r="D16" t="s">
        <v>23</v>
      </c>
      <c r="E16" t="s">
        <v>126</v>
      </c>
      <c r="F16" t="str">
        <f>IF(SUM($C$2:C16)&lt;=350,"P1",IF(SUM($C$2:C16)&lt;=780,"P2",IF(SUM($C$2:C16)&lt;=1140,"P3",IF(SUM($C$2:C16)&lt;=1880,"P4","P5"))))</f>
        <v>P4</v>
      </c>
      <c r="G16" t="s">
        <v>29</v>
      </c>
      <c r="H16" t="s">
        <v>29</v>
      </c>
      <c r="I16" t="s">
        <v>29</v>
      </c>
      <c r="J16" t="s">
        <v>168</v>
      </c>
    </row>
    <row r="17" spans="1:10" x14ac:dyDescent="0.2">
      <c r="A17" t="s">
        <v>169</v>
      </c>
      <c r="B17" t="s">
        <v>170</v>
      </c>
      <c r="C17">
        <v>110</v>
      </c>
      <c r="D17" t="s">
        <v>23</v>
      </c>
      <c r="E17" t="s">
        <v>126</v>
      </c>
      <c r="F17" t="str">
        <f>IF(SUM($C$2:C17)&lt;=350,"P1",IF(SUM($C$2:C17)&lt;=780,"P2",IF(SUM($C$2:C17)&lt;=1140,"P3",IF(SUM($C$2:C17)&lt;=1880,"P4","P5"))))</f>
        <v>P4</v>
      </c>
      <c r="G17" t="s">
        <v>29</v>
      </c>
      <c r="H17" t="s">
        <v>29</v>
      </c>
      <c r="I17" t="s">
        <v>29</v>
      </c>
      <c r="J17" t="s">
        <v>171</v>
      </c>
    </row>
    <row r="18" spans="1:10" x14ac:dyDescent="0.2">
      <c r="A18" t="s">
        <v>172</v>
      </c>
      <c r="B18" t="s">
        <v>173</v>
      </c>
      <c r="C18">
        <v>100</v>
      </c>
      <c r="D18" t="s">
        <v>23</v>
      </c>
      <c r="E18" t="s">
        <v>126</v>
      </c>
      <c r="F18" t="str">
        <f>IF(SUM($C$2:C18)&lt;=350,"P1",IF(SUM($C$2:C18)&lt;=780,"P2",IF(SUM($C$2:C18)&lt;=1140,"P3",IF(SUM($C$2:C18)&lt;=1880,"P4","P5"))))</f>
        <v>P4</v>
      </c>
      <c r="G18" t="s">
        <v>29</v>
      </c>
      <c r="H18" t="s">
        <v>29</v>
      </c>
      <c r="I18" t="s">
        <v>29</v>
      </c>
      <c r="J18" t="s">
        <v>174</v>
      </c>
    </row>
    <row r="19" spans="1:10" x14ac:dyDescent="0.2">
      <c r="A19" t="s">
        <v>175</v>
      </c>
      <c r="B19" t="s">
        <v>176</v>
      </c>
      <c r="C19">
        <v>100</v>
      </c>
      <c r="D19" t="s">
        <v>23</v>
      </c>
      <c r="E19" t="s">
        <v>126</v>
      </c>
      <c r="F19" t="str">
        <f>IF(SUM($C$2:C19)&lt;=350,"P1",IF(SUM($C$2:C19)&lt;=780,"P2",IF(SUM($C$2:C19)&lt;=1140,"P3",IF(SUM($C$2:C19)&lt;=1880,"P4","P5"))))</f>
        <v>P4</v>
      </c>
      <c r="G19" t="s">
        <v>29</v>
      </c>
      <c r="H19" t="s">
        <v>29</v>
      </c>
      <c r="I19" t="s">
        <v>29</v>
      </c>
      <c r="J19" t="s">
        <v>177</v>
      </c>
    </row>
    <row r="20" spans="1:10" x14ac:dyDescent="0.2">
      <c r="A20" t="s">
        <v>178</v>
      </c>
      <c r="B20" t="s">
        <v>179</v>
      </c>
      <c r="C20">
        <v>120</v>
      </c>
      <c r="D20" t="s">
        <v>23</v>
      </c>
      <c r="E20" t="s">
        <v>130</v>
      </c>
      <c r="F20" t="str">
        <f>IF(SUM($C$2:C20)&lt;=350,"P1",IF(SUM($C$2:C20)&lt;=780,"P2",IF(SUM($C$2:C20)&lt;=1140,"P3",IF(SUM($C$2:C20)&lt;=1880,"P4","P5"))))</f>
        <v>P5</v>
      </c>
      <c r="G20" t="s">
        <v>29</v>
      </c>
      <c r="H20" t="s">
        <v>29</v>
      </c>
      <c r="I20" t="s">
        <v>29</v>
      </c>
      <c r="J20" t="s">
        <v>180</v>
      </c>
    </row>
    <row r="21" spans="1:10" x14ac:dyDescent="0.2">
      <c r="A21" t="s">
        <v>181</v>
      </c>
      <c r="B21" t="s">
        <v>182</v>
      </c>
      <c r="C21">
        <v>100</v>
      </c>
      <c r="D21" t="s">
        <v>23</v>
      </c>
      <c r="E21" t="s">
        <v>126</v>
      </c>
      <c r="F21" t="str">
        <f>IF(SUM($C$2:C21)&lt;=350,"P1",IF(SUM($C$2:C21)&lt;=780,"P2",IF(SUM($C$2:C21)&lt;=1140,"P3",IF(SUM($C$2:C21)&lt;=1880,"P4","P5"))))</f>
        <v>P5</v>
      </c>
      <c r="G21" t="s">
        <v>29</v>
      </c>
      <c r="H21" t="s">
        <v>29</v>
      </c>
      <c r="I21" t="s">
        <v>29</v>
      </c>
      <c r="J21" t="s">
        <v>183</v>
      </c>
    </row>
    <row r="22" spans="1:10" x14ac:dyDescent="0.2">
      <c r="A22" t="s">
        <v>184</v>
      </c>
      <c r="B22" t="s">
        <v>185</v>
      </c>
      <c r="C22">
        <v>100</v>
      </c>
      <c r="D22" t="s">
        <v>23</v>
      </c>
      <c r="E22" t="s">
        <v>126</v>
      </c>
      <c r="F22" t="str">
        <f>IF(SUM($C$2:C22)&lt;=350,"P1",IF(SUM($C$2:C22)&lt;=780,"P2",IF(SUM($C$2:C22)&lt;=1140,"P3",IF(SUM($C$2:C22)&lt;=1880,"P4","P5"))))</f>
        <v>P5</v>
      </c>
      <c r="G22" t="s">
        <v>29</v>
      </c>
      <c r="H22" t="s">
        <v>29</v>
      </c>
      <c r="I22" t="s">
        <v>29</v>
      </c>
      <c r="J22" t="s">
        <v>186</v>
      </c>
    </row>
    <row r="23" spans="1:10" x14ac:dyDescent="0.2">
      <c r="A23" t="s">
        <v>163</v>
      </c>
      <c r="B23" t="s">
        <v>164</v>
      </c>
      <c r="C23">
        <v>120</v>
      </c>
      <c r="D23" t="s">
        <v>23</v>
      </c>
      <c r="E23" t="s">
        <v>130</v>
      </c>
      <c r="F23" t="str">
        <f>IF(SUM($C$2:C23)&lt;=350,"P1",IF(SUM($C$2:C23)&lt;=780,"P2",IF(SUM($C$2:C23)&lt;=1140,"P3",IF(SUM($C$2:C23)&lt;=1880,"P4","P5"))))</f>
        <v>P5</v>
      </c>
      <c r="G23" t="s">
        <v>161</v>
      </c>
      <c r="H23" t="s">
        <v>29</v>
      </c>
      <c r="I23" t="s">
        <v>29</v>
      </c>
      <c r="J23" t="s">
        <v>165</v>
      </c>
    </row>
    <row r="24" spans="1:10" x14ac:dyDescent="0.2">
      <c r="A24" t="s">
        <v>193</v>
      </c>
      <c r="B24" t="s">
        <v>194</v>
      </c>
      <c r="C24">
        <v>120</v>
      </c>
      <c r="D24" t="s">
        <v>23</v>
      </c>
      <c r="E24" t="s">
        <v>130</v>
      </c>
      <c r="F24" t="str">
        <f>IF(SUM($C$2:C24)&lt;=350,"P1",IF(SUM($C$2:C24)&lt;=780,"P2",IF(SUM($C$2:C24)&lt;=1140,"P3",IF(SUM($C$2:C24)&lt;=1880,"P4","P5"))))</f>
        <v>P5</v>
      </c>
      <c r="G24" t="s">
        <v>161</v>
      </c>
      <c r="H24" t="s">
        <v>29</v>
      </c>
      <c r="I24" t="s">
        <v>29</v>
      </c>
      <c r="J24" t="s">
        <v>195</v>
      </c>
    </row>
    <row r="25" spans="1:10" x14ac:dyDescent="0.2">
      <c r="A25" t="s">
        <v>196</v>
      </c>
      <c r="B25" t="s">
        <v>197</v>
      </c>
      <c r="C25">
        <v>100</v>
      </c>
      <c r="D25" t="b">
        <v>0</v>
      </c>
      <c r="E25" t="s">
        <v>130</v>
      </c>
      <c r="F25" t="str">
        <f>IF(SUM($C$2:C25)&lt;=350,"P1",IF(SUM($C$2:C25)&lt;=780,"P2",IF(SUM($C$2:C25)&lt;=1140,"P3",IF(SUM($C$2:C25)&lt;=1880,"P4","P5"))))</f>
        <v>P5</v>
      </c>
      <c r="G25" t="s">
        <v>161</v>
      </c>
      <c r="H25" t="s">
        <v>29</v>
      </c>
      <c r="I25" t="s">
        <v>29</v>
      </c>
    </row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RowHeight="16" x14ac:dyDescent="0.2"/>
  <cols>
    <col min="1" max="1" width="29.5" customWidth="1"/>
    <col min="2" max="2" width="40.83203125" customWidth="1"/>
  </cols>
  <sheetData>
    <row r="1" spans="1:2" x14ac:dyDescent="0.2">
      <c r="A1" t="s">
        <v>10</v>
      </c>
      <c r="B1" t="s">
        <v>11</v>
      </c>
    </row>
    <row r="2" spans="1:2" x14ac:dyDescent="0.2">
      <c r="A2" t="s">
        <v>12</v>
      </c>
      <c r="B2" t="s">
        <v>13</v>
      </c>
    </row>
    <row r="3" spans="1:2" x14ac:dyDescent="0.2">
      <c r="A3" t="s">
        <v>14</v>
      </c>
      <c r="B3" t="s">
        <v>15</v>
      </c>
    </row>
    <row r="4" spans="1:2" x14ac:dyDescent="0.2">
      <c r="A4" t="s">
        <v>16</v>
      </c>
      <c r="B4" t="s">
        <v>17</v>
      </c>
    </row>
    <row r="5" spans="1:2" x14ac:dyDescent="0.2">
      <c r="A5" t="s">
        <v>18</v>
      </c>
      <c r="B5" t="s">
        <v>19</v>
      </c>
    </row>
    <row r="6" spans="1:2" x14ac:dyDescent="0.2">
      <c r="A6" t="s">
        <v>20</v>
      </c>
      <c r="B6" t="s">
        <v>21</v>
      </c>
    </row>
    <row r="7" spans="1:2" x14ac:dyDescent="0.2">
      <c r="A7" t="s">
        <v>22</v>
      </c>
      <c r="B7" t="s">
        <v>23</v>
      </c>
    </row>
    <row r="8" spans="1:2" x14ac:dyDescent="0.2">
      <c r="A8" t="s">
        <v>24</v>
      </c>
      <c r="B8">
        <v>25</v>
      </c>
    </row>
    <row r="9" spans="1:2" x14ac:dyDescent="0.2">
      <c r="A9" t="s">
        <v>25</v>
      </c>
      <c r="B9" t="s">
        <v>23</v>
      </c>
    </row>
    <row r="10" spans="1:2" x14ac:dyDescent="0.2">
      <c r="A10" t="s">
        <v>26</v>
      </c>
      <c r="B10" t="s">
        <v>23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RowHeight="16" x14ac:dyDescent="0.2"/>
  <cols>
    <col min="1" max="2" width="20.83203125" customWidth="1"/>
    <col min="3" max="3" width="40.83203125" customWidth="1"/>
  </cols>
  <sheetData>
    <row r="1" spans="1:3" x14ac:dyDescent="0.2">
      <c r="A1" t="s">
        <v>27</v>
      </c>
      <c r="B1" t="s">
        <v>1</v>
      </c>
      <c r="C1" t="s">
        <v>28</v>
      </c>
    </row>
    <row r="2" spans="1:3" x14ac:dyDescent="0.2">
      <c r="A2" t="s">
        <v>29</v>
      </c>
      <c r="B2" t="s">
        <v>30</v>
      </c>
      <c r="C2" t="s">
        <v>31</v>
      </c>
    </row>
  </sheetData>
  <pageMargins left="0.7" right="0.7" top="0.75" bottom="0.75" header="0.3" footer="0.3"/>
  <ignoredErrors>
    <ignoredError sqref="A1: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RowHeight="16" x14ac:dyDescent="0.2"/>
  <cols>
    <col min="1" max="1" width="10.83203125" customWidth="1"/>
    <col min="2" max="3" width="25.83203125" customWidth="1"/>
    <col min="4" max="4" width="35.83203125" customWidth="1"/>
  </cols>
  <sheetData>
    <row r="1" spans="1:4" x14ac:dyDescent="0.2">
      <c r="A1" t="s">
        <v>32</v>
      </c>
      <c r="B1" t="s">
        <v>33</v>
      </c>
      <c r="C1" t="s">
        <v>34</v>
      </c>
      <c r="D1" t="s">
        <v>35</v>
      </c>
    </row>
    <row r="2" spans="1:4" x14ac:dyDescent="0.2">
      <c r="A2" t="s">
        <v>36</v>
      </c>
      <c r="B2" t="s">
        <v>37</v>
      </c>
      <c r="C2" t="s">
        <v>38</v>
      </c>
      <c r="D2" t="s">
        <v>39</v>
      </c>
    </row>
    <row r="3" spans="1:4" x14ac:dyDescent="0.2">
      <c r="A3" t="s">
        <v>40</v>
      </c>
      <c r="B3" t="s">
        <v>41</v>
      </c>
      <c r="C3" t="s">
        <v>42</v>
      </c>
      <c r="D3" t="s">
        <v>43</v>
      </c>
    </row>
    <row r="4" spans="1:4" x14ac:dyDescent="0.2">
      <c r="A4" t="s">
        <v>44</v>
      </c>
      <c r="B4" t="s">
        <v>45</v>
      </c>
      <c r="C4" t="s">
        <v>46</v>
      </c>
      <c r="D4" t="s">
        <v>47</v>
      </c>
    </row>
    <row r="5" spans="1:4" x14ac:dyDescent="0.2">
      <c r="A5" t="s">
        <v>48</v>
      </c>
      <c r="B5" t="s">
        <v>49</v>
      </c>
      <c r="C5" t="s">
        <v>50</v>
      </c>
      <c r="D5" t="s">
        <v>51</v>
      </c>
    </row>
    <row r="6" spans="1:4" x14ac:dyDescent="0.2">
      <c r="A6" t="s">
        <v>52</v>
      </c>
      <c r="B6" t="s">
        <v>53</v>
      </c>
      <c r="C6" t="s">
        <v>54</v>
      </c>
      <c r="D6" t="s">
        <v>55</v>
      </c>
    </row>
  </sheetData>
  <pageMargins left="0.7" right="0.7" top="0.75" bottom="0.75" header="0.3" footer="0.3"/>
  <ignoredErrors>
    <ignoredError sqref="A1:D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0"/>
  <sheetViews>
    <sheetView workbookViewId="0"/>
  </sheetViews>
  <sheetFormatPr baseColWidth="10" defaultRowHeight="16" x14ac:dyDescent="0.2"/>
  <cols>
    <col min="1" max="1" width="100.83203125" customWidth="1"/>
  </cols>
  <sheetData>
    <row r="1" spans="1:1" x14ac:dyDescent="0.2">
      <c r="A1" t="s">
        <v>56</v>
      </c>
    </row>
    <row r="2" spans="1:1" x14ac:dyDescent="0.2">
      <c r="A2" t="s">
        <v>57</v>
      </c>
    </row>
    <row r="3" spans="1:1" x14ac:dyDescent="0.2">
      <c r="A3" t="s">
        <v>58</v>
      </c>
    </row>
    <row r="4" spans="1:1" x14ac:dyDescent="0.2">
      <c r="A4" t="s">
        <v>59</v>
      </c>
    </row>
    <row r="5" spans="1:1" x14ac:dyDescent="0.2">
      <c r="A5" t="s">
        <v>60</v>
      </c>
    </row>
    <row r="6" spans="1:1" x14ac:dyDescent="0.2">
      <c r="A6" t="s">
        <v>61</v>
      </c>
    </row>
    <row r="7" spans="1:1" x14ac:dyDescent="0.2">
      <c r="A7" t="s">
        <v>62</v>
      </c>
    </row>
    <row r="8" spans="1:1" x14ac:dyDescent="0.2">
      <c r="A8" t="s">
        <v>63</v>
      </c>
    </row>
    <row r="9" spans="1:1" x14ac:dyDescent="0.2">
      <c r="A9" t="s">
        <v>64</v>
      </c>
    </row>
    <row r="10" spans="1:1" x14ac:dyDescent="0.2">
      <c r="A10" t="s">
        <v>57</v>
      </c>
    </row>
    <row r="11" spans="1:1" x14ac:dyDescent="0.2">
      <c r="A11" t="s">
        <v>65</v>
      </c>
    </row>
    <row r="12" spans="1:1" x14ac:dyDescent="0.2">
      <c r="A12" t="s">
        <v>66</v>
      </c>
    </row>
    <row r="13" spans="1:1" x14ac:dyDescent="0.2">
      <c r="A13" t="s">
        <v>67</v>
      </c>
    </row>
    <row r="14" spans="1:1" x14ac:dyDescent="0.2">
      <c r="A14" t="s">
        <v>68</v>
      </c>
    </row>
    <row r="15" spans="1:1" x14ac:dyDescent="0.2">
      <c r="A15" t="s">
        <v>69</v>
      </c>
    </row>
    <row r="16" spans="1:1" x14ac:dyDescent="0.2">
      <c r="A16" t="s">
        <v>70</v>
      </c>
    </row>
    <row r="17" spans="1:1" x14ac:dyDescent="0.2">
      <c r="A17" t="s">
        <v>71</v>
      </c>
    </row>
    <row r="18" spans="1:1" x14ac:dyDescent="0.2">
      <c r="A18" t="s">
        <v>72</v>
      </c>
    </row>
    <row r="19" spans="1:1" x14ac:dyDescent="0.2">
      <c r="A19" t="s">
        <v>73</v>
      </c>
    </row>
    <row r="20" spans="1:1" x14ac:dyDescent="0.2">
      <c r="A20" t="s">
        <v>74</v>
      </c>
    </row>
    <row r="21" spans="1:1" x14ac:dyDescent="0.2">
      <c r="A21" t="s">
        <v>75</v>
      </c>
    </row>
    <row r="22" spans="1:1" x14ac:dyDescent="0.2">
      <c r="A22" t="s">
        <v>57</v>
      </c>
    </row>
    <row r="23" spans="1:1" x14ac:dyDescent="0.2">
      <c r="A23" t="s">
        <v>76</v>
      </c>
    </row>
    <row r="24" spans="1:1" x14ac:dyDescent="0.2">
      <c r="A24" t="s">
        <v>77</v>
      </c>
    </row>
    <row r="25" spans="1:1" x14ac:dyDescent="0.2">
      <c r="A25" t="s">
        <v>78</v>
      </c>
    </row>
    <row r="26" spans="1:1" x14ac:dyDescent="0.2">
      <c r="A26" t="s">
        <v>57</v>
      </c>
    </row>
    <row r="27" spans="1:1" x14ac:dyDescent="0.2">
      <c r="A27" t="s">
        <v>79</v>
      </c>
    </row>
    <row r="28" spans="1:1" x14ac:dyDescent="0.2">
      <c r="A28" t="s">
        <v>80</v>
      </c>
    </row>
    <row r="29" spans="1:1" x14ac:dyDescent="0.2">
      <c r="A29" t="s">
        <v>81</v>
      </c>
    </row>
    <row r="30" spans="1:1" x14ac:dyDescent="0.2">
      <c r="A30" t="s">
        <v>82</v>
      </c>
    </row>
    <row r="31" spans="1:1" x14ac:dyDescent="0.2">
      <c r="A31" t="s">
        <v>83</v>
      </c>
    </row>
    <row r="32" spans="1:1" x14ac:dyDescent="0.2">
      <c r="A32" t="s">
        <v>84</v>
      </c>
    </row>
    <row r="33" spans="1:1" x14ac:dyDescent="0.2">
      <c r="A33" t="s">
        <v>57</v>
      </c>
    </row>
    <row r="34" spans="1:1" x14ac:dyDescent="0.2">
      <c r="A34" t="s">
        <v>85</v>
      </c>
    </row>
    <row r="35" spans="1:1" x14ac:dyDescent="0.2">
      <c r="A35" t="s">
        <v>86</v>
      </c>
    </row>
    <row r="36" spans="1:1" x14ac:dyDescent="0.2">
      <c r="A36" t="s">
        <v>87</v>
      </c>
    </row>
    <row r="37" spans="1:1" x14ac:dyDescent="0.2">
      <c r="A37" t="s">
        <v>88</v>
      </c>
    </row>
    <row r="38" spans="1:1" x14ac:dyDescent="0.2">
      <c r="A38" t="s">
        <v>89</v>
      </c>
    </row>
    <row r="39" spans="1:1" x14ac:dyDescent="0.2">
      <c r="A39" t="s">
        <v>90</v>
      </c>
    </row>
    <row r="40" spans="1:1" x14ac:dyDescent="0.2">
      <c r="A40" t="s">
        <v>57</v>
      </c>
    </row>
    <row r="41" spans="1:1" x14ac:dyDescent="0.2">
      <c r="A41" t="s">
        <v>91</v>
      </c>
    </row>
    <row r="42" spans="1:1" x14ac:dyDescent="0.2">
      <c r="A42" t="s">
        <v>92</v>
      </c>
    </row>
    <row r="43" spans="1:1" x14ac:dyDescent="0.2">
      <c r="A43" t="s">
        <v>93</v>
      </c>
    </row>
    <row r="44" spans="1:1" x14ac:dyDescent="0.2">
      <c r="A44" t="s">
        <v>94</v>
      </c>
    </row>
    <row r="45" spans="1:1" x14ac:dyDescent="0.2">
      <c r="A45" t="s">
        <v>95</v>
      </c>
    </row>
    <row r="46" spans="1:1" x14ac:dyDescent="0.2">
      <c r="A46" t="s">
        <v>96</v>
      </c>
    </row>
    <row r="47" spans="1:1" x14ac:dyDescent="0.2">
      <c r="A47" t="s">
        <v>57</v>
      </c>
    </row>
    <row r="48" spans="1:1" x14ac:dyDescent="0.2">
      <c r="A48" t="s">
        <v>97</v>
      </c>
    </row>
    <row r="49" spans="1:1" x14ac:dyDescent="0.2">
      <c r="A49" t="s">
        <v>98</v>
      </c>
    </row>
    <row r="50" spans="1:1" x14ac:dyDescent="0.2">
      <c r="A50" t="s">
        <v>99</v>
      </c>
    </row>
    <row r="51" spans="1:1" x14ac:dyDescent="0.2">
      <c r="A51" t="s">
        <v>100</v>
      </c>
    </row>
    <row r="52" spans="1:1" x14ac:dyDescent="0.2">
      <c r="A52" t="s">
        <v>101</v>
      </c>
    </row>
    <row r="53" spans="1:1" x14ac:dyDescent="0.2">
      <c r="A53" t="s">
        <v>102</v>
      </c>
    </row>
    <row r="54" spans="1:1" x14ac:dyDescent="0.2">
      <c r="A54" t="s">
        <v>57</v>
      </c>
    </row>
    <row r="55" spans="1:1" x14ac:dyDescent="0.2">
      <c r="A55" t="s">
        <v>103</v>
      </c>
    </row>
    <row r="56" spans="1:1" x14ac:dyDescent="0.2">
      <c r="A56" t="s">
        <v>104</v>
      </c>
    </row>
    <row r="57" spans="1:1" x14ac:dyDescent="0.2">
      <c r="A57" t="s">
        <v>105</v>
      </c>
    </row>
    <row r="58" spans="1:1" x14ac:dyDescent="0.2">
      <c r="A58" t="s">
        <v>106</v>
      </c>
    </row>
    <row r="59" spans="1:1" x14ac:dyDescent="0.2">
      <c r="A59" t="s">
        <v>57</v>
      </c>
    </row>
    <row r="60" spans="1:1" x14ac:dyDescent="0.2">
      <c r="A60" t="s">
        <v>107</v>
      </c>
    </row>
    <row r="61" spans="1:1" x14ac:dyDescent="0.2">
      <c r="A61" t="s">
        <v>108</v>
      </c>
    </row>
    <row r="62" spans="1:1" x14ac:dyDescent="0.2">
      <c r="A62" t="s">
        <v>109</v>
      </c>
    </row>
    <row r="63" spans="1:1" x14ac:dyDescent="0.2">
      <c r="A63" t="s">
        <v>110</v>
      </c>
    </row>
    <row r="64" spans="1:1" x14ac:dyDescent="0.2">
      <c r="A64" t="s">
        <v>111</v>
      </c>
    </row>
    <row r="65" spans="1:1" x14ac:dyDescent="0.2">
      <c r="A65" t="s">
        <v>57</v>
      </c>
    </row>
    <row r="66" spans="1:1" x14ac:dyDescent="0.2">
      <c r="A66" t="s">
        <v>112</v>
      </c>
    </row>
    <row r="67" spans="1:1" x14ac:dyDescent="0.2">
      <c r="A67" t="s">
        <v>113</v>
      </c>
    </row>
    <row r="68" spans="1:1" x14ac:dyDescent="0.2">
      <c r="A68" t="s">
        <v>114</v>
      </c>
    </row>
    <row r="69" spans="1:1" x14ac:dyDescent="0.2">
      <c r="A69" t="s">
        <v>115</v>
      </c>
    </row>
    <row r="70" spans="1:1" x14ac:dyDescent="0.2">
      <c r="A70" t="s">
        <v>57</v>
      </c>
    </row>
    <row r="71" spans="1:1" x14ac:dyDescent="0.2">
      <c r="A71" t="s">
        <v>116</v>
      </c>
    </row>
    <row r="72" spans="1:1" x14ac:dyDescent="0.2">
      <c r="A72" t="s">
        <v>117</v>
      </c>
    </row>
    <row r="73" spans="1:1" x14ac:dyDescent="0.2">
      <c r="A73" t="s">
        <v>118</v>
      </c>
    </row>
    <row r="74" spans="1:1" x14ac:dyDescent="0.2">
      <c r="A74" t="s">
        <v>119</v>
      </c>
    </row>
    <row r="75" spans="1:1" x14ac:dyDescent="0.2">
      <c r="A75" t="s">
        <v>120</v>
      </c>
    </row>
    <row r="76" spans="1:1" x14ac:dyDescent="0.2">
      <c r="A76" t="s">
        <v>121</v>
      </c>
    </row>
    <row r="77" spans="1:1" x14ac:dyDescent="0.2">
      <c r="A77" t="s">
        <v>57</v>
      </c>
    </row>
    <row r="78" spans="1:1" x14ac:dyDescent="0.2">
      <c r="A78" t="s">
        <v>122</v>
      </c>
    </row>
    <row r="79" spans="1:1" x14ac:dyDescent="0.2">
      <c r="A79" t="s">
        <v>57</v>
      </c>
    </row>
    <row r="80" spans="1:1" x14ac:dyDescent="0.2">
      <c r="A80" t="s">
        <v>123</v>
      </c>
    </row>
  </sheetData>
  <pageMargins left="0.7" right="0.7" top="0.75" bottom="0.75" header="0.3" footer="0.3"/>
  <ignoredErrors>
    <ignoredError sqref="A1:A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2026-02-24T04:53:23Z</dcterms:created>
  <dcterms:modified xsi:type="dcterms:W3CDTF">2026-02-24T05:35:07Z</dcterms:modified>
</cp:coreProperties>
</file>