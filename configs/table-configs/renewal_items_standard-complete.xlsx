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 codeName="ThisWorkbook"/>
  <mc:AlternateContent xmlns:mc="http://schemas.openxmlformats.org/markup-compatibility/2006">
    <mc:Choice Requires="x15">
      <x15ac:absPath xmlns:x15ac="http://schemas.microsoft.com/office/spreadsheetml/2010/11/ac" url="/Users/edward/Library/CloudStorage/Dropbox/Data/Table Formatter/"/>
    </mc:Choice>
  </mc:AlternateContent>
  <xr:revisionPtr revIDLastSave="0" documentId="8_{4DC8E47D-6BD5-5E4B-A8F5-ED4FD1A3A9C7}" xr6:coauthVersionLast="47" xr6:coauthVersionMax="47" xr10:uidLastSave="{00000000-0000-0000-0000-000000000000}"/>
  <bookViews>
    <workbookView xWindow="44100" yWindow="12160" windowWidth="30520" windowHeight="17960" xr2:uid="{00000000-000D-0000-FFFF-FFFF00000000}"/>
  </bookViews>
  <sheets>
    <sheet name="Column Definitions" sheetId="1" r:id="rId1"/>
    <sheet name="Table Configuration" sheetId="2" r:id="rId2"/>
    <sheet name="Filter Groups" sheetId="3" r:id="rId3"/>
    <sheet name="Priority Reference" sheetId="4" r:id="rId4"/>
    <sheet name="Instruction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5" i="1" l="1"/>
  <c r="F16" i="1"/>
  <c r="F9" i="1"/>
  <c r="F10" i="1"/>
  <c r="F11" i="1"/>
  <c r="F2" i="1"/>
  <c r="F14" i="1"/>
  <c r="F13" i="1"/>
  <c r="F12" i="1"/>
  <c r="F7" i="1"/>
  <c r="F8" i="1"/>
  <c r="F6" i="1"/>
  <c r="F4" i="1"/>
  <c r="F5" i="1"/>
  <c r="F3" i="1"/>
</calcChain>
</file>

<file path=xl/sharedStrings.xml><?xml version="1.0" encoding="utf-8"?>
<sst xmlns="http://schemas.openxmlformats.org/spreadsheetml/2006/main" count="190" uniqueCount="119">
  <si>
    <t>key</t>
  </si>
  <si>
    <t>label</t>
  </si>
  <si>
    <t>width</t>
  </si>
  <si>
    <t>sortable</t>
  </si>
  <si>
    <t>align</t>
  </si>
  <si>
    <t>priority</t>
  </si>
  <si>
    <t>roles</t>
  </si>
  <si>
    <t>departments</t>
  </si>
  <si>
    <t>filter_groups</t>
  </si>
  <si>
    <t>notes</t>
  </si>
  <si>
    <t>unit_name</t>
  </si>
  <si>
    <t>Unit</t>
  </si>
  <si>
    <t>TRUE</t>
  </si>
  <si>
    <t/>
  </si>
  <si>
    <t>all</t>
  </si>
  <si>
    <t>Unit number</t>
  </si>
  <si>
    <t>resident_name</t>
  </si>
  <si>
    <t>Resident</t>
  </si>
  <si>
    <t>Resident name</t>
  </si>
  <si>
    <t>floor_plan</t>
  </si>
  <si>
    <t>Floor Plan</t>
  </si>
  <si>
    <t>Floor plan type</t>
  </si>
  <si>
    <t>lease_end_date</t>
  </si>
  <si>
    <t>center</t>
  </si>
  <si>
    <t>Expiration date</t>
  </si>
  <si>
    <t>current_rent</t>
  </si>
  <si>
    <t>Current</t>
  </si>
  <si>
    <t>right</t>
  </si>
  <si>
    <t>Current rent</t>
  </si>
  <si>
    <t>market_rent</t>
  </si>
  <si>
    <t>Market</t>
  </si>
  <si>
    <t>Market rent</t>
  </si>
  <si>
    <t>System recommendation</t>
  </si>
  <si>
    <t>Manager proposal</t>
  </si>
  <si>
    <t>Renewal term</t>
  </si>
  <si>
    <t>Parameter</t>
  </si>
  <si>
    <t>Value</t>
  </si>
  <si>
    <t>table_name</t>
  </si>
  <si>
    <t>renewal_items_standard</t>
  </si>
  <si>
    <t>file_path</t>
  </si>
  <si>
    <t>layers/ops/pages/office/renewals/items-standard.vue</t>
  </si>
  <si>
    <t>has_filter_groups</t>
  </si>
  <si>
    <t>FALSE</t>
  </si>
  <si>
    <t>default_sort_field</t>
  </si>
  <si>
    <t>default_sort_direction</t>
  </si>
  <si>
    <t>asc</t>
  </si>
  <si>
    <t>enable_pagination</t>
  </si>
  <si>
    <t>page_size</t>
  </si>
  <si>
    <t>enable_export</t>
  </si>
  <si>
    <t>clickable_rows</t>
  </si>
  <si>
    <t>group_name</t>
  </si>
  <si>
    <t>description</t>
  </si>
  <si>
    <t>All Items</t>
  </si>
  <si>
    <t>Show all records</t>
  </si>
  <si>
    <t>Priority</t>
  </si>
  <si>
    <t>Max Cumulative Width</t>
  </si>
  <si>
    <t>Breakpoint</t>
  </si>
  <si>
    <t>Devices</t>
  </si>
  <si>
    <t>Target Columns</t>
  </si>
  <si>
    <t>P1</t>
  </si>
  <si>
    <t>350px</t>
  </si>
  <si>
    <t>base (no class)</t>
  </si>
  <si>
    <t>Phone (portrait)</t>
  </si>
  <si>
    <t>2-3 columns</t>
  </si>
  <si>
    <t>P2</t>
  </si>
  <si>
    <t>780px</t>
  </si>
  <si>
    <t>md: (768px+)</t>
  </si>
  <si>
    <t>Tablet (portrait), Phone (landscape)</t>
  </si>
  <si>
    <t>+3-4 columns</t>
  </si>
  <si>
    <t>P3</t>
  </si>
  <si>
    <t>1140px</t>
  </si>
  <si>
    <t>lg: (1024px+)</t>
  </si>
  <si>
    <t>Tablet (landscape), Desktop</t>
  </si>
  <si>
    <t>+2-3 columns</t>
  </si>
  <si>
    <t>P4</t>
  </si>
  <si>
    <t>1880px</t>
  </si>
  <si>
    <t>xl: (1280px+)</t>
  </si>
  <si>
    <t>QHD, 4K (scaled) ⭐</t>
  </si>
  <si>
    <t>+4-5 columns</t>
  </si>
  <si>
    <t>P5</t>
  </si>
  <si>
    <t>2520px</t>
  </si>
  <si>
    <t>2xl: (1536px+)</t>
  </si>
  <si>
    <t>4K (native), Ultra-wide</t>
  </si>
  <si>
    <t>renewal_items_standard Table - Configuration</t>
  </si>
  <si>
    <t>QUICK START:</t>
  </si>
  <si>
    <t>1. Review the "Column Definitions" sheet - columns are from existing Vue component</t>
  </si>
  <si>
    <t>2. Adjust column widths, order, or priorities as needed</t>
  </si>
  <si>
    <t>3. Modify roles/departments restrictions if needed</t>
  </si>
  <si>
    <t>4. Run: npx tsx utils/table-config-parser.ts configs/table-configs/renewal_items_standard.xlsx</t>
  </si>
  <si>
    <t>5. Copy generated code to: layers/ops/pages/office/renewals/items-standard.vue</t>
  </si>
  <si>
    <t>PRIORITY AUTO-CALCULATION:</t>
  </si>
  <si>
    <t>Priorities are pre-calculated based on current column widths.</t>
  </si>
  <si>
    <t>To change priorities: adjust column widths or reorder columns.</t>
  </si>
  <si>
    <t>CURRENT CONFIGURATION:</t>
  </si>
  <si>
    <t>Total Columns: 9</t>
  </si>
  <si>
    <t>Default Sort: lease_end_date</t>
  </si>
  <si>
    <t>Filter Groups: 0</t>
  </si>
  <si>
    <t>For detailed documentation, see: /docs/tools/EXCEL_TABLE_CONFIG_TEMPLATE.md</t>
  </si>
  <si>
    <t>Expires</t>
  </si>
  <si>
    <t>selection</t>
  </si>
  <si>
    <t>""</t>
  </si>
  <si>
    <t>lease_to_date</t>
  </si>
  <si>
    <t>ltl_rent</t>
  </si>
  <si>
    <t>LTL %</t>
  </si>
  <si>
    <t>Management, Leasing</t>
  </si>
  <si>
    <t>Manager, RPM, Asset</t>
  </si>
  <si>
    <t>max_rent</t>
  </si>
  <si>
    <t>Max %</t>
  </si>
  <si>
    <t>manual_rent</t>
  </si>
  <si>
    <t>Manual $Δ</t>
  </si>
  <si>
    <t>final_rent</t>
  </si>
  <si>
    <t>Final Rent</t>
  </si>
  <si>
    <t>increase</t>
  </si>
  <si>
    <t>Increase</t>
  </si>
  <si>
    <t>status</t>
  </si>
  <si>
    <t>Status</t>
  </si>
  <si>
    <t>approved</t>
  </si>
  <si>
    <t>actions</t>
  </si>
  <si>
    <t>Approved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</si>
</sst>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quotePrefix="1"/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6"/>
  <sheetViews>
    <sheetView tabSelected="1" zoomScale="150" zoomScaleNormal="150" workbookViewId="0">
      <selection activeCell="E21" sqref="E21"/>
    </sheetView>
  </sheetViews>
  <sheetFormatPr baseColWidth="10" defaultRowHeight="16" x14ac:dyDescent="0.2"/>
  <cols>
    <col min="1" max="1" width="20.1640625" customWidth="1"/>
    <col min="2" max="2" width="20.33203125" customWidth="1"/>
    <col min="7" max="7" width="24.1640625" customWidth="1"/>
    <col min="8" max="8" width="20.33203125" customWidth="1"/>
  </cols>
  <sheetData>
    <row r="1" spans="1:10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">
      <c r="A2" t="s">
        <v>99</v>
      </c>
      <c r="B2" s="1" t="s">
        <v>100</v>
      </c>
      <c r="C2">
        <v>40</v>
      </c>
      <c r="D2" s="2" t="b">
        <v>0</v>
      </c>
      <c r="E2" t="s">
        <v>23</v>
      </c>
      <c r="F2" t="str">
        <f>IF(SUM($C2:C$3)&lt;=350,"P1",IF(SUM($C2:C$3)&lt;=780,"P2",IF(SUM($C2:C$3)&lt;=1140,"P3",IF(SUM($C2:C$3)&lt;=1880,"P4","P5"))))</f>
        <v>P1</v>
      </c>
      <c r="G2" t="s">
        <v>14</v>
      </c>
      <c r="H2" t="s">
        <v>14</v>
      </c>
      <c r="I2" t="s">
        <v>14</v>
      </c>
    </row>
    <row r="3" spans="1:10" x14ac:dyDescent="0.2">
      <c r="A3" t="s">
        <v>10</v>
      </c>
      <c r="B3" t="s">
        <v>11</v>
      </c>
      <c r="C3">
        <v>80</v>
      </c>
      <c r="D3" s="2" t="s">
        <v>12</v>
      </c>
      <c r="E3" t="s">
        <v>13</v>
      </c>
      <c r="F3" t="str">
        <f>IF(SUM($C$3:C3)&lt;=350,"P1",IF(SUM($C$3:C3)&lt;=780,"P2",IF(SUM($C$3:C3)&lt;=1140,"P3",IF(SUM($C$3:C3)&lt;=1880,"P4","P5"))))</f>
        <v>P1</v>
      </c>
      <c r="G3" t="s">
        <v>14</v>
      </c>
      <c r="H3" t="s">
        <v>14</v>
      </c>
      <c r="I3" t="s">
        <v>14</v>
      </c>
      <c r="J3" t="s">
        <v>15</v>
      </c>
    </row>
    <row r="4" spans="1:10" x14ac:dyDescent="0.2">
      <c r="A4" t="s">
        <v>19</v>
      </c>
      <c r="B4" t="s">
        <v>20</v>
      </c>
      <c r="C4">
        <v>100</v>
      </c>
      <c r="D4" s="2" t="s">
        <v>12</v>
      </c>
      <c r="E4" t="s">
        <v>13</v>
      </c>
      <c r="F4" t="str">
        <f>IF(SUM($C$3:C5)&lt;=350,"P1",IF(SUM($C$3:C5)&lt;=780,"P2",IF(SUM($C$3:C5)&lt;=1140,"P3",IF(SUM($C$3:C5)&lt;=1880,"P4","P5"))))</f>
        <v>P1</v>
      </c>
      <c r="G4" t="s">
        <v>14</v>
      </c>
      <c r="H4" t="s">
        <v>14</v>
      </c>
      <c r="I4" t="s">
        <v>14</v>
      </c>
      <c r="J4" t="s">
        <v>21</v>
      </c>
    </row>
    <row r="5" spans="1:10" x14ac:dyDescent="0.2">
      <c r="A5" t="s">
        <v>16</v>
      </c>
      <c r="B5" t="s">
        <v>17</v>
      </c>
      <c r="C5">
        <v>150</v>
      </c>
      <c r="D5" s="2" t="s">
        <v>12</v>
      </c>
      <c r="E5" t="s">
        <v>13</v>
      </c>
      <c r="F5" t="str">
        <f>IF(SUM($C$3:C5)&lt;=350,"P1",IF(SUM($C$3:C5)&lt;=780,"P2",IF(SUM($C$3:C5)&lt;=1140,"P3",IF(SUM($C$3:C5)&lt;=1880,"P4","P5"))))</f>
        <v>P1</v>
      </c>
      <c r="G5" t="s">
        <v>14</v>
      </c>
      <c r="H5" t="s">
        <v>14</v>
      </c>
      <c r="I5" t="s">
        <v>14</v>
      </c>
      <c r="J5" t="s">
        <v>18</v>
      </c>
    </row>
    <row r="6" spans="1:10" x14ac:dyDescent="0.2">
      <c r="A6" t="s">
        <v>101</v>
      </c>
      <c r="B6" t="s">
        <v>98</v>
      </c>
      <c r="C6">
        <v>100</v>
      </c>
      <c r="D6" s="2" t="s">
        <v>12</v>
      </c>
      <c r="E6" t="s">
        <v>23</v>
      </c>
      <c r="F6" t="str">
        <f>IF(SUM($C$3:C6)&lt;=350,"P1",IF(SUM($C$3:C6)&lt;=780,"P2",IF(SUM($C$3:C6)&lt;=1140,"P3",IF(SUM($C$3:C6)&lt;=1880,"P4","P5"))))</f>
        <v>P2</v>
      </c>
      <c r="G6" t="s">
        <v>14</v>
      </c>
      <c r="H6" t="s">
        <v>14</v>
      </c>
      <c r="I6" t="s">
        <v>14</v>
      </c>
      <c r="J6" t="s">
        <v>24</v>
      </c>
    </row>
    <row r="7" spans="1:10" x14ac:dyDescent="0.2">
      <c r="A7" t="s">
        <v>29</v>
      </c>
      <c r="B7" t="s">
        <v>30</v>
      </c>
      <c r="C7">
        <v>100</v>
      </c>
      <c r="D7" s="2" t="s">
        <v>12</v>
      </c>
      <c r="E7" t="s">
        <v>27</v>
      </c>
      <c r="F7" t="str">
        <f>IF(SUM($C$3:C8)&lt;=350,"P1",IF(SUM($C$3:C8)&lt;=780,"P2",IF(SUM($C$3:C8)&lt;=1140,"P3",IF(SUM($C$3:C8)&lt;=1880,"P4","P5"))))</f>
        <v>P2</v>
      </c>
      <c r="G7" t="s">
        <v>105</v>
      </c>
      <c r="H7" t="s">
        <v>104</v>
      </c>
      <c r="I7" t="s">
        <v>14</v>
      </c>
      <c r="J7" t="s">
        <v>31</v>
      </c>
    </row>
    <row r="8" spans="1:10" x14ac:dyDescent="0.2">
      <c r="A8" t="s">
        <v>25</v>
      </c>
      <c r="B8" t="s">
        <v>26</v>
      </c>
      <c r="C8">
        <v>100</v>
      </c>
      <c r="D8" s="2" t="s">
        <v>12</v>
      </c>
      <c r="E8" t="s">
        <v>27</v>
      </c>
      <c r="F8" t="str">
        <f>IF(SUM($C$3:C8)&lt;=350,"P1",IF(SUM($C$3:C8)&lt;=780,"P2",IF(SUM($C$3:C8)&lt;=1140,"P3",IF(SUM($C$3:C8)&lt;=1880,"P4","P5"))))</f>
        <v>P2</v>
      </c>
      <c r="G8" t="s">
        <v>105</v>
      </c>
      <c r="H8" t="s">
        <v>104</v>
      </c>
      <c r="I8" t="s">
        <v>14</v>
      </c>
      <c r="J8" t="s">
        <v>28</v>
      </c>
    </row>
    <row r="9" spans="1:10" x14ac:dyDescent="0.2">
      <c r="A9" t="s">
        <v>102</v>
      </c>
      <c r="B9" t="s">
        <v>103</v>
      </c>
      <c r="C9">
        <v>100</v>
      </c>
      <c r="D9" s="2" t="b">
        <v>0</v>
      </c>
      <c r="E9" t="s">
        <v>27</v>
      </c>
      <c r="F9" t="str">
        <f>IF(SUM($C$3:C9)&lt;=350,"P1",IF(SUM($C$3:C9)&lt;=780,"P2",IF(SUM($C$3:C9)&lt;=1140,"P3",IF(SUM($C$3:C9)&lt;=1880,"P4","P5"))))</f>
        <v>P2</v>
      </c>
      <c r="G9" t="s">
        <v>105</v>
      </c>
      <c r="H9" t="s">
        <v>104</v>
      </c>
    </row>
    <row r="10" spans="1:10" x14ac:dyDescent="0.2">
      <c r="A10" t="s">
        <v>106</v>
      </c>
      <c r="B10" t="s">
        <v>107</v>
      </c>
      <c r="C10">
        <v>100</v>
      </c>
      <c r="D10" s="2" t="b">
        <v>0</v>
      </c>
      <c r="E10" t="s">
        <v>27</v>
      </c>
      <c r="F10" t="str">
        <f>IF(SUM($C$3:C10)&lt;=350,"P1",IF(SUM($C$3:C10)&lt;=780,"P2",IF(SUM($C$3:C10)&lt;=1140,"P3",IF(SUM($C$3:C10)&lt;=1880,"P4","P5"))))</f>
        <v>P3</v>
      </c>
      <c r="G10" t="s">
        <v>105</v>
      </c>
      <c r="H10" t="s">
        <v>104</v>
      </c>
    </row>
    <row r="11" spans="1:10" x14ac:dyDescent="0.2">
      <c r="A11" t="s">
        <v>108</v>
      </c>
      <c r="B11" t="s">
        <v>109</v>
      </c>
      <c r="C11">
        <v>120</v>
      </c>
      <c r="D11" s="2" t="b">
        <v>0</v>
      </c>
      <c r="E11" t="s">
        <v>27</v>
      </c>
      <c r="F11" t="str">
        <f>IF(SUM($C$3:C11)&lt;=350,"P1",IF(SUM($C$3:C11)&lt;=780,"P2",IF(SUM($C$3:C11)&lt;=1140,"P3",IF(SUM($C$3:C11)&lt;=1880,"P4","P5"))))</f>
        <v>P3</v>
      </c>
      <c r="G11" t="s">
        <v>105</v>
      </c>
      <c r="H11" t="s">
        <v>104</v>
      </c>
    </row>
    <row r="12" spans="1:10" x14ac:dyDescent="0.2">
      <c r="A12" t="s">
        <v>110</v>
      </c>
      <c r="B12" t="s">
        <v>111</v>
      </c>
      <c r="C12">
        <v>100</v>
      </c>
      <c r="D12" s="2" t="s">
        <v>12</v>
      </c>
      <c r="E12" t="s">
        <v>27</v>
      </c>
      <c r="F12" t="str">
        <f>IF(SUM($C$3:C12)&lt;=350,"P1",IF(SUM($C$3:C12)&lt;=780,"P2",IF(SUM($C$3:C12)&lt;=1140,"P3",IF(SUM($C$3:C12)&lt;=1880,"P4","P5"))))</f>
        <v>P3</v>
      </c>
      <c r="G12" t="s">
        <v>105</v>
      </c>
      <c r="H12" t="s">
        <v>104</v>
      </c>
      <c r="I12" t="s">
        <v>14</v>
      </c>
      <c r="J12" t="s">
        <v>32</v>
      </c>
    </row>
    <row r="13" spans="1:10" x14ac:dyDescent="0.2">
      <c r="A13" t="s">
        <v>112</v>
      </c>
      <c r="B13" t="s">
        <v>113</v>
      </c>
      <c r="C13">
        <v>100</v>
      </c>
      <c r="D13" s="2" t="s">
        <v>12</v>
      </c>
      <c r="E13" t="s">
        <v>27</v>
      </c>
      <c r="F13" t="str">
        <f>IF(SUM($C$3:C13)&lt;=350,"P1",IF(SUM($C$3:C13)&lt;=780,"P2",IF(SUM($C$3:C13)&lt;=1140,"P3",IF(SUM($C$3:C13)&lt;=1880,"P4","P5"))))</f>
        <v>P4</v>
      </c>
      <c r="G13" t="s">
        <v>105</v>
      </c>
      <c r="H13" t="s">
        <v>104</v>
      </c>
      <c r="I13" t="s">
        <v>14</v>
      </c>
      <c r="J13" t="s">
        <v>33</v>
      </c>
    </row>
    <row r="14" spans="1:10" x14ac:dyDescent="0.2">
      <c r="A14" t="s">
        <v>114</v>
      </c>
      <c r="B14" t="s">
        <v>115</v>
      </c>
      <c r="C14">
        <v>80</v>
      </c>
      <c r="D14" s="2" t="s">
        <v>12</v>
      </c>
      <c r="E14" t="s">
        <v>23</v>
      </c>
      <c r="F14" t="str">
        <f>IF(SUM($C$3:C14)&lt;=350,"P1",IF(SUM($C$3:C14)&lt;=780,"P2",IF(SUM($C$3:C14)&lt;=1140,"P3",IF(SUM($C$3:C14)&lt;=1880,"P4","P5"))))</f>
        <v>P4</v>
      </c>
      <c r="G14" t="s">
        <v>105</v>
      </c>
      <c r="H14" t="s">
        <v>104</v>
      </c>
      <c r="I14" t="s">
        <v>14</v>
      </c>
      <c r="J14" t="s">
        <v>34</v>
      </c>
    </row>
    <row r="15" spans="1:10" x14ac:dyDescent="0.2">
      <c r="A15" t="s">
        <v>116</v>
      </c>
      <c r="B15" t="s">
        <v>118</v>
      </c>
      <c r="C15">
        <v>80</v>
      </c>
      <c r="D15" s="2" t="s">
        <v>12</v>
      </c>
      <c r="E15" t="s">
        <v>23</v>
      </c>
      <c r="F15" t="str">
        <f>IF(SUM($C$3:C15)&lt;=350,"P1",IF(SUM($C$3:C15)&lt;=780,"P2",IF(SUM($C$3:C15)&lt;=1140,"P3",IF(SUM($C$3:C15)&lt;=1880,"P4","P5"))))</f>
        <v>P4</v>
      </c>
      <c r="G15" t="s">
        <v>105</v>
      </c>
      <c r="H15" t="s">
        <v>104</v>
      </c>
      <c r="I15" t="s">
        <v>14</v>
      </c>
    </row>
    <row r="16" spans="1:10" x14ac:dyDescent="0.2">
      <c r="A16" t="s">
        <v>117</v>
      </c>
      <c r="B16" t="s">
        <v>100</v>
      </c>
      <c r="C16">
        <v>100</v>
      </c>
      <c r="D16" s="2" t="b">
        <v>0</v>
      </c>
      <c r="E16" t="s">
        <v>23</v>
      </c>
      <c r="F16" t="str">
        <f>IF(SUM($C$3:C16)&lt;=350,"P1",IF(SUM($C$3:C16)&lt;=780,"P2",IF(SUM($C$3:C16)&lt;=1140,"P3",IF(SUM($C$3:C16)&lt;=1880,"P4","P5"))))</f>
        <v>P4</v>
      </c>
      <c r="G16" t="s">
        <v>105</v>
      </c>
      <c r="H16" t="s">
        <v>104</v>
      </c>
      <c r="I16" t="s">
        <v>14</v>
      </c>
    </row>
  </sheetData>
  <pageMargins left="0.7" right="0.7" top="0.75" bottom="0.75" header="0.3" footer="0.3"/>
  <ignoredErrors>
    <ignoredError sqref="A5:B5 A1:J1 A8:B8 A3:B3 D3:J3 D5:J5 D6:J6 D12:F12 D8:F8 C14:F14 D13:F13 I8:J8 I12:J12 I14:J14 I13:J13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0"/>
  <sheetViews>
    <sheetView workbookViewId="0"/>
  </sheetViews>
  <sheetFormatPr baseColWidth="10" defaultRowHeight="16" x14ac:dyDescent="0.2"/>
  <sheetData>
    <row r="1" spans="1:2" x14ac:dyDescent="0.2">
      <c r="A1" t="s">
        <v>35</v>
      </c>
      <c r="B1" t="s">
        <v>36</v>
      </c>
    </row>
    <row r="2" spans="1:2" x14ac:dyDescent="0.2">
      <c r="A2" t="s">
        <v>37</v>
      </c>
      <c r="B2" t="s">
        <v>38</v>
      </c>
    </row>
    <row r="3" spans="1:2" x14ac:dyDescent="0.2">
      <c r="A3" t="s">
        <v>39</v>
      </c>
      <c r="B3" t="s">
        <v>40</v>
      </c>
    </row>
    <row r="4" spans="1:2" x14ac:dyDescent="0.2">
      <c r="A4" t="s">
        <v>41</v>
      </c>
      <c r="B4" t="s">
        <v>42</v>
      </c>
    </row>
    <row r="5" spans="1:2" x14ac:dyDescent="0.2">
      <c r="A5" t="s">
        <v>43</v>
      </c>
      <c r="B5" t="s">
        <v>22</v>
      </c>
    </row>
    <row r="6" spans="1:2" x14ac:dyDescent="0.2">
      <c r="A6" t="s">
        <v>44</v>
      </c>
      <c r="B6" t="s">
        <v>45</v>
      </c>
    </row>
    <row r="7" spans="1:2" x14ac:dyDescent="0.2">
      <c r="A7" t="s">
        <v>46</v>
      </c>
      <c r="B7" t="s">
        <v>12</v>
      </c>
    </row>
    <row r="8" spans="1:2" x14ac:dyDescent="0.2">
      <c r="A8" t="s">
        <v>47</v>
      </c>
      <c r="B8">
        <v>25</v>
      </c>
    </row>
    <row r="9" spans="1:2" x14ac:dyDescent="0.2">
      <c r="A9" t="s">
        <v>48</v>
      </c>
      <c r="B9" t="s">
        <v>12</v>
      </c>
    </row>
    <row r="10" spans="1:2" x14ac:dyDescent="0.2">
      <c r="A10" t="s">
        <v>49</v>
      </c>
      <c r="B10" t="s">
        <v>12</v>
      </c>
    </row>
  </sheetData>
  <pageMargins left="0.7" right="0.7" top="0.75" bottom="0.75" header="0.3" footer="0.3"/>
  <ignoredErrors>
    <ignoredError sqref="A1:B10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"/>
  <sheetViews>
    <sheetView workbookViewId="0"/>
  </sheetViews>
  <sheetFormatPr baseColWidth="10" defaultRowHeight="16" x14ac:dyDescent="0.2"/>
  <sheetData>
    <row r="1" spans="1:3" x14ac:dyDescent="0.2">
      <c r="A1" t="s">
        <v>50</v>
      </c>
      <c r="B1" t="s">
        <v>1</v>
      </c>
      <c r="C1" t="s">
        <v>51</v>
      </c>
    </row>
    <row r="2" spans="1:3" x14ac:dyDescent="0.2">
      <c r="A2" t="s">
        <v>14</v>
      </c>
      <c r="B2" t="s">
        <v>52</v>
      </c>
      <c r="C2" t="s">
        <v>53</v>
      </c>
    </row>
  </sheetData>
  <pageMargins left="0.7" right="0.7" top="0.75" bottom="0.75" header="0.3" footer="0.3"/>
  <ignoredErrors>
    <ignoredError sqref="A1:C2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6"/>
  <sheetViews>
    <sheetView workbookViewId="0"/>
  </sheetViews>
  <sheetFormatPr baseColWidth="10" defaultRowHeight="16" x14ac:dyDescent="0.2"/>
  <sheetData>
    <row r="1" spans="1:5" x14ac:dyDescent="0.2">
      <c r="A1" t="s">
        <v>54</v>
      </c>
      <c r="B1" t="s">
        <v>55</v>
      </c>
      <c r="C1" t="s">
        <v>56</v>
      </c>
      <c r="D1" t="s">
        <v>57</v>
      </c>
      <c r="E1" t="s">
        <v>58</v>
      </c>
    </row>
    <row r="2" spans="1:5" x14ac:dyDescent="0.2">
      <c r="A2" t="s">
        <v>59</v>
      </c>
      <c r="B2" t="s">
        <v>60</v>
      </c>
      <c r="C2" t="s">
        <v>61</v>
      </c>
      <c r="D2" t="s">
        <v>62</v>
      </c>
      <c r="E2" t="s">
        <v>63</v>
      </c>
    </row>
    <row r="3" spans="1:5" x14ac:dyDescent="0.2">
      <c r="A3" t="s">
        <v>64</v>
      </c>
      <c r="B3" t="s">
        <v>65</v>
      </c>
      <c r="C3" t="s">
        <v>66</v>
      </c>
      <c r="D3" t="s">
        <v>67</v>
      </c>
      <c r="E3" t="s">
        <v>68</v>
      </c>
    </row>
    <row r="4" spans="1:5" x14ac:dyDescent="0.2">
      <c r="A4" t="s">
        <v>69</v>
      </c>
      <c r="B4" t="s">
        <v>70</v>
      </c>
      <c r="C4" t="s">
        <v>71</v>
      </c>
      <c r="D4" t="s">
        <v>72</v>
      </c>
      <c r="E4" t="s">
        <v>73</v>
      </c>
    </row>
    <row r="5" spans="1:5" x14ac:dyDescent="0.2">
      <c r="A5" t="s">
        <v>74</v>
      </c>
      <c r="B5" t="s">
        <v>75</v>
      </c>
      <c r="C5" t="s">
        <v>76</v>
      </c>
      <c r="D5" t="s">
        <v>77</v>
      </c>
      <c r="E5" t="s">
        <v>78</v>
      </c>
    </row>
    <row r="6" spans="1:5" x14ac:dyDescent="0.2">
      <c r="A6" t="s">
        <v>79</v>
      </c>
      <c r="B6" t="s">
        <v>80</v>
      </c>
      <c r="C6" t="s">
        <v>81</v>
      </c>
      <c r="D6" t="s">
        <v>82</v>
      </c>
      <c r="E6" t="s">
        <v>78</v>
      </c>
    </row>
  </sheetData>
  <pageMargins left="0.7" right="0.7" top="0.75" bottom="0.75" header="0.3" footer="0.3"/>
  <ignoredErrors>
    <ignoredError sqref="A1:E6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19"/>
  <sheetViews>
    <sheetView workbookViewId="0"/>
  </sheetViews>
  <sheetFormatPr baseColWidth="10" defaultRowHeight="16" x14ac:dyDescent="0.2"/>
  <sheetData>
    <row r="1" spans="1:1" x14ac:dyDescent="0.2">
      <c r="A1" t="s">
        <v>83</v>
      </c>
    </row>
    <row r="2" spans="1:1" x14ac:dyDescent="0.2">
      <c r="A2" t="s">
        <v>13</v>
      </c>
    </row>
    <row r="3" spans="1:1" x14ac:dyDescent="0.2">
      <c r="A3" t="s">
        <v>84</v>
      </c>
    </row>
    <row r="4" spans="1:1" x14ac:dyDescent="0.2">
      <c r="A4" t="s">
        <v>85</v>
      </c>
    </row>
    <row r="5" spans="1:1" x14ac:dyDescent="0.2">
      <c r="A5" t="s">
        <v>86</v>
      </c>
    </row>
    <row r="6" spans="1:1" x14ac:dyDescent="0.2">
      <c r="A6" t="s">
        <v>87</v>
      </c>
    </row>
    <row r="7" spans="1:1" x14ac:dyDescent="0.2">
      <c r="A7" t="s">
        <v>88</v>
      </c>
    </row>
    <row r="8" spans="1:1" x14ac:dyDescent="0.2">
      <c r="A8" t="s">
        <v>89</v>
      </c>
    </row>
    <row r="9" spans="1:1" x14ac:dyDescent="0.2">
      <c r="A9" t="s">
        <v>13</v>
      </c>
    </row>
    <row r="10" spans="1:1" x14ac:dyDescent="0.2">
      <c r="A10" t="s">
        <v>90</v>
      </c>
    </row>
    <row r="11" spans="1:1" x14ac:dyDescent="0.2">
      <c r="A11" t="s">
        <v>91</v>
      </c>
    </row>
    <row r="12" spans="1:1" x14ac:dyDescent="0.2">
      <c r="A12" t="s">
        <v>92</v>
      </c>
    </row>
    <row r="13" spans="1:1" x14ac:dyDescent="0.2">
      <c r="A13" t="s">
        <v>13</v>
      </c>
    </row>
    <row r="14" spans="1:1" x14ac:dyDescent="0.2">
      <c r="A14" t="s">
        <v>93</v>
      </c>
    </row>
    <row r="15" spans="1:1" x14ac:dyDescent="0.2">
      <c r="A15" t="s">
        <v>94</v>
      </c>
    </row>
    <row r="16" spans="1:1" x14ac:dyDescent="0.2">
      <c r="A16" t="s">
        <v>95</v>
      </c>
    </row>
    <row r="17" spans="1:1" x14ac:dyDescent="0.2">
      <c r="A17" t="s">
        <v>96</v>
      </c>
    </row>
    <row r="18" spans="1:1" x14ac:dyDescent="0.2">
      <c r="A18" t="s">
        <v>13</v>
      </c>
    </row>
    <row r="19" spans="1:1" x14ac:dyDescent="0.2">
      <c r="A19" t="s">
        <v>97</v>
      </c>
    </row>
  </sheetData>
  <pageMargins left="0.7" right="0.7" top="0.75" bottom="0.75" header="0.3" footer="0.3"/>
  <ignoredErrors>
    <ignoredError sqref="A1:A19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Column Definitions</vt:lpstr>
      <vt:lpstr>Table Configuration</vt:lpstr>
      <vt:lpstr>Filter Groups</vt:lpstr>
      <vt:lpstr>Priority Reference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Edward Kim</cp:lastModifiedBy>
  <dcterms:created xsi:type="dcterms:W3CDTF">2026-02-16T17:56:42Z</dcterms:created>
  <dcterms:modified xsi:type="dcterms:W3CDTF">2026-02-16T17:56:42Z</dcterms:modified>
</cp:coreProperties>
</file>