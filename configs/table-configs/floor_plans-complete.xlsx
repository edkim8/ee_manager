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B5E807B6-0427-A648-BF8E-15051B8AEA40}" xr6:coauthVersionLast="47" xr6:coauthVersionMax="47" xr10:uidLastSave="{00000000-0000-0000-0000-000000000000}"/>
  <bookViews>
    <workbookView xWindow="158080" yWindow="19400" windowWidth="33660" windowHeight="1796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<sst xmlns="http://schemas.openxmlformats.org/spreadsheetml/2006/main" count="140" uniqueCount="102">
  <si>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</si>
  <si>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</si>
  <si>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</si>
  <si>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</si>
  <si>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</si>
  <si>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</si>
  <si>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</si>
  <si>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</si>
  <si>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</si>
  <si>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</si>
  <si>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code</t>
  </si>
  <si>
    <t>Code</t>
  </si>
  <si>
    <t>TRUE</t>
  </si>
  <si>
    <t/>
  </si>
  <si>
    <t>all</t>
  </si>
  <si>
    <t>Floor plan code</t>
  </si>
  <si>
    <t>marketing_name</t>
  </si>
  <si>
    <t>Marketing Name</t>
  </si>
  <si>
    <t>Public-facing name</t>
  </si>
  <si>
    <t>bedroom_count</t>
  </si>
  <si>
    <t>Beds</t>
  </si>
  <si>
    <t>center</t>
  </si>
  <si>
    <t>Bedrooms</t>
  </si>
  <si>
    <t>bathroom_count</t>
  </si>
  <si>
    <t>Baths</t>
  </si>
  <si>
    <t>Bathrooms</t>
  </si>
  <si>
    <t>sf</t>
  </si>
  <si>
    <t>SF</t>
  </si>
  <si>
    <t>right</t>
  </si>
  <si>
    <t>Square footage</t>
  </si>
  <si>
    <t>unit_count</t>
  </si>
  <si>
    <t>Units</t>
  </si>
  <si>
    <t>Total units with this plan</t>
  </si>
  <si>
    <t>base_rent</t>
  </si>
  <si>
    <t>Base Rent</t>
  </si>
  <si>
    <t>Base rent amount</t>
  </si>
  <si>
    <t>Parameter</t>
  </si>
  <si>
    <t>Value</t>
  </si>
  <si>
    <t>table_name</t>
  </si>
  <si>
    <t>floor_plans</t>
  </si>
  <si>
    <t>file_path</t>
  </si>
  <si>
    <t>layers/ops/pages/assets/floor-plans/index.vue</t>
  </si>
  <si>
    <t>has_filter_groups</t>
  </si>
  <si>
    <t>FALSE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</si>
  <si>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</si>
  <si>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</si>
  <si>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</si>
  <si>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</si>
  <si>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</si>
  <si>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</si>
  <si>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</si>
  <si>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</si>
  <si>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</si>
  <si>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</si>
  <si>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</si>
  <si>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</si>
  <si>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</si>
  <si>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</si>
  <si>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</si>
  <si>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</si>
  <si>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</si>
  <si>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</si>
  <si>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</si>
  <si>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</si>
  <si>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</si>
  <si>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</si>
  <si>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</si>
  <si>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</si>
  <si>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</si>
  <si>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</si>
  <si>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</si>
  <si>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</si>
  <si>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</si>
  <si>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</si>
  <si>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</si>
  <si>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</si>
  <si>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</si>
  <si>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</si>
  <si>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</si>
  <si>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</si>
  <si>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</si>
  <si>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</si>
  <si>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</si>
  <si>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</si>
  <si>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floor_plans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</si>
  <si>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</si>
  <si>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</si>
  <si>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</si>
  <si>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</si>
  <si>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configs/table-configs/floor_plans.xlsx</t>
  </si>
  <si>
    <t>5. Copy generated code to: layers/ops/pages/assets/floor-plans/index.vue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</si>
  <si>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</si>
  <si>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</si>
  <si>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</si>
  <si>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</si>
  <si>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7</t>
  </si>
  <si>
    <t>Default Sort: marketing_name</t>
  </si>
  <si>
    <t>Filter Groups: 0</t>
  </si>
  <si>
    <t>For detailed documentation, see: /docs/tools/EXCEL_TABLE_CONFIG_TEMPLATE.md</t>
  </si>
  <si>
    <t>Manager, RPM, Asset,</t>
  </si>
  <si>
    <t>Management, Leasing</t>
  </si>
  <si>
    <t>Leasing,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</si>
</sst>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70" zoomScaleNormal="170" workbookViewId="0">
      <selection activeCell="C2" sqref="C2"/>
    </sheetView>
  </sheetViews>
  <sheetFormatPr baseColWidth="10" defaultRowHeight="16" x14ac:dyDescent="0.2"/>
  <cols>
    <col min="1" max="1" width="16.5" customWidth="1"/>
    <col min="2" max="2" width="15.5" customWidth="1"/>
    <col min="7" max="7" width="21" customWidth="1"/>
    <col min="8" max="8" width="23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240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26</v>
      </c>
      <c r="B3" t="s">
        <v>27</v>
      </c>
      <c r="C3">
        <v>80</v>
      </c>
      <c r="D3" t="s">
        <v>12</v>
      </c>
      <c r="E3" t="s">
        <v>28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  <c r="J3" t="s">
        <v>29</v>
      </c>
    </row>
    <row r="4" spans="1:10" x14ac:dyDescent="0.2">
      <c r="A4" t="s">
        <v>16</v>
      </c>
      <c r="B4" t="s">
        <v>17</v>
      </c>
      <c r="C4">
        <v>200</v>
      </c>
      <c r="D4" t="s">
        <v>12</v>
      </c>
      <c r="E4" t="s">
        <v>13</v>
      </c>
      <c r="F4" t="str">
        <f>IF(SUM($C$2:C4)&lt;=350,"P1",IF(SUM($C$2:C4)&lt;=780,"P2",IF(SUM($C$2:C4)&lt;=1140,"P3",IF(SUM($C$2:C4)&lt;=1880,"P4","P5"))))</f>
        <v>P2</v>
      </c>
      <c r="G4" t="s">
        <v>14</v>
      </c>
      <c r="H4" t="s">
        <v>101</v>
      </c>
      <c r="I4" t="s">
        <v>14</v>
      </c>
      <c r="J4" t="s">
        <v>18</v>
      </c>
    </row>
    <row r="5" spans="1:10" x14ac:dyDescent="0.2">
      <c r="A5" t="s">
        <v>19</v>
      </c>
      <c r="B5" t="s">
        <v>20</v>
      </c>
      <c r="C5">
        <v>50</v>
      </c>
      <c r="D5" t="s">
        <v>12</v>
      </c>
      <c r="E5" t="s">
        <v>21</v>
      </c>
      <c r="F5" t="str">
        <f>IF(SUM($C$2:C5)&lt;=350,"P1",IF(SUM($C$2:C5)&lt;=780,"P2",IF(SUM($C$2:C5)&lt;=1140,"P3",IF(SUM($C$2:C5)&lt;=1880,"P4","P5"))))</f>
        <v>P2</v>
      </c>
      <c r="G5" t="s">
        <v>14</v>
      </c>
      <c r="H5" t="s">
        <v>14</v>
      </c>
      <c r="I5" t="s">
        <v>14</v>
      </c>
      <c r="J5" t="s">
        <v>22</v>
      </c>
    </row>
    <row r="6" spans="1:10" x14ac:dyDescent="0.2">
      <c r="A6" t="s">
        <v>23</v>
      </c>
      <c r="B6" t="s">
        <v>24</v>
      </c>
      <c r="C6">
        <v>50</v>
      </c>
      <c r="D6" t="s">
        <v>12</v>
      </c>
      <c r="E6" t="s">
        <v>21</v>
      </c>
      <c r="F6" t="str">
        <f>IF(SUM($C$2:C6)&lt;=350,"P1",IF(SUM($C$2:C6)&lt;=780,"P2",IF(SUM($C$2:C6)&lt;=1140,"P3",IF(SUM($C$2:C6)&lt;=1880,"P4","P5"))))</f>
        <v>P2</v>
      </c>
      <c r="G6" t="s">
        <v>14</v>
      </c>
      <c r="H6" t="s">
        <v>14</v>
      </c>
      <c r="I6" t="s">
        <v>14</v>
      </c>
      <c r="J6" t="s">
        <v>25</v>
      </c>
    </row>
    <row r="7" spans="1:10" x14ac:dyDescent="0.2">
      <c r="A7" t="s">
        <v>33</v>
      </c>
      <c r="B7" t="s">
        <v>34</v>
      </c>
      <c r="C7">
        <v>100</v>
      </c>
      <c r="D7" t="s">
        <v>12</v>
      </c>
      <c r="E7" t="s">
        <v>28</v>
      </c>
      <c r="F7" t="str">
        <f>IF(SUM($C$2:C7)&lt;=350,"P1",IF(SUM($C$2:C7)&lt;=780,"P2",IF(SUM($C$2:C7)&lt;=1140,"P3",IF(SUM($C$2:C7)&lt;=1880,"P4","P5"))))</f>
        <v>P2</v>
      </c>
      <c r="G7" t="s">
        <v>99</v>
      </c>
      <c r="H7" t="s">
        <v>100</v>
      </c>
      <c r="I7" t="s">
        <v>14</v>
      </c>
      <c r="J7" t="s">
        <v>35</v>
      </c>
    </row>
    <row r="8" spans="1:10" x14ac:dyDescent="0.2">
      <c r="A8" t="s">
        <v>30</v>
      </c>
      <c r="B8" t="s">
        <v>31</v>
      </c>
      <c r="C8">
        <v>60</v>
      </c>
      <c r="D8" t="s">
        <v>12</v>
      </c>
      <c r="E8" t="s">
        <v>28</v>
      </c>
      <c r="F8" t="str">
        <f>IF(SUM($C$2:C8)&lt;=350,"P1",IF(SUM($C$2:C8)&lt;=780,"P2",IF(SUM($C$2:C8)&lt;=1140,"P3",IF(SUM($C$2:C8)&lt;=1880,"P4","P5"))))</f>
        <v>P2</v>
      </c>
      <c r="G8" t="s">
        <v>14</v>
      </c>
      <c r="H8" t="s">
        <v>14</v>
      </c>
      <c r="I8" t="s">
        <v>14</v>
      </c>
      <c r="J8" t="s">
        <v>32</v>
      </c>
    </row>
  </sheetData>
  <pageMargins left="0.7" right="0.7" top="0.75" bottom="0.75" header="0.3" footer="0.3"/>
  <ignoredErrors>
    <ignoredError sqref="A1:J1 A6:B6 A2:B2 D2:J2 A4:B4 D4:E4 A5:B5 D5:E5 D6:E6 A8:B8 D8:E8 I4:J4 G4 G5:J5 G6:J6 G8:J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40" zoomScaleNormal="140" workbookViewId="0">
      <selection activeCell="B13" sqref="B13"/>
    </sheetView>
  </sheetViews>
  <sheetFormatPr baseColWidth="10" defaultRowHeight="16" x14ac:dyDescent="0.2"/>
  <cols>
    <col min="1" max="1" width="28.83203125" customWidth="1"/>
    <col min="2" max="2" width="43.33203125" customWidth="1"/>
  </cols>
  <sheetData>
    <row r="1" spans="1:2" x14ac:dyDescent="0.2">
      <c r="A1" t="s">
        <v>36</v>
      </c>
      <c r="B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26</v>
      </c>
    </row>
    <row r="6" spans="1:2" x14ac:dyDescent="0.2">
      <c r="A6" t="s">
        <v>45</v>
      </c>
      <c r="B6" t="s">
        <v>46</v>
      </c>
    </row>
    <row r="7" spans="1:2" x14ac:dyDescent="0.2">
      <c r="A7" t="s">
        <v>47</v>
      </c>
      <c r="B7" t="s">
        <v>12</v>
      </c>
    </row>
    <row r="8" spans="1:2" x14ac:dyDescent="0.2">
      <c r="A8" t="s">
        <v>48</v>
      </c>
      <c r="B8">
        <v>25</v>
      </c>
    </row>
    <row r="9" spans="1:2" x14ac:dyDescent="0.2">
      <c r="A9" t="s">
        <v>49</v>
      </c>
      <c r="B9" t="s">
        <v>12</v>
      </c>
    </row>
    <row r="10" spans="1:2" x14ac:dyDescent="0.2">
      <c r="A10" t="s">
        <v>50</v>
      </c>
      <c r="B10" t="s">
        <v>12</v>
      </c>
    </row>
  </sheetData>
  <pageMargins left="0.7" right="0.7" top="0.75" bottom="0.75" header="0.3" footer="0.3"/>
  <ignoredErrors>
    <ignoredError sqref="A1:B4 A6:B10 A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sheetData>
    <row r="1" spans="1:3" x14ac:dyDescent="0.2">
      <c r="A1" t="s">
        <v>51</v>
      </c>
      <c r="B1" t="s">
        <v>1</v>
      </c>
      <c r="C1" t="s">
        <v>52</v>
      </c>
    </row>
    <row r="2" spans="1:3" x14ac:dyDescent="0.2">
      <c r="A2" t="s">
        <v>14</v>
      </c>
      <c r="B2" t="s">
        <v>53</v>
      </c>
      <c r="C2" t="s">
        <v>54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68</v>
      </c>
      <c r="E3" t="s">
        <v>69</v>
      </c>
    </row>
    <row r="4" spans="1:5" x14ac:dyDescent="0.2">
      <c r="A4" t="s">
        <v>70</v>
      </c>
      <c r="B4" t="s">
        <v>71</v>
      </c>
      <c r="C4" t="s">
        <v>72</v>
      </c>
      <c r="D4" t="s">
        <v>73</v>
      </c>
      <c r="E4" t="s">
        <v>74</v>
      </c>
    </row>
    <row r="5" spans="1:5" x14ac:dyDescent="0.2">
      <c r="A5" t="s">
        <v>75</v>
      </c>
      <c r="B5" t="s">
        <v>76</v>
      </c>
      <c r="C5" t="s">
        <v>77</v>
      </c>
      <c r="D5" t="s">
        <v>78</v>
      </c>
      <c r="E5" t="s">
        <v>79</v>
      </c>
    </row>
    <row r="6" spans="1:5" x14ac:dyDescent="0.2">
      <c r="A6" t="s">
        <v>80</v>
      </c>
      <c r="B6" t="s">
        <v>81</v>
      </c>
      <c r="C6" t="s">
        <v>82</v>
      </c>
      <c r="D6" t="s">
        <v>83</v>
      </c>
      <c r="E6" t="s">
        <v>79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84</v>
      </c>
    </row>
    <row r="2" spans="1:1" x14ac:dyDescent="0.2">
      <c r="A2" t="s">
        <v>13</v>
      </c>
    </row>
    <row r="3" spans="1:1" x14ac:dyDescent="0.2">
      <c r="A3" t="s">
        <v>85</v>
      </c>
    </row>
    <row r="4" spans="1:1" x14ac:dyDescent="0.2">
      <c r="A4" t="s">
        <v>86</v>
      </c>
    </row>
    <row r="5" spans="1:1" x14ac:dyDescent="0.2">
      <c r="A5" t="s">
        <v>87</v>
      </c>
    </row>
    <row r="6" spans="1:1" x14ac:dyDescent="0.2">
      <c r="A6" t="s">
        <v>88</v>
      </c>
    </row>
    <row r="7" spans="1:1" x14ac:dyDescent="0.2">
      <c r="A7" t="s">
        <v>89</v>
      </c>
    </row>
    <row r="8" spans="1:1" x14ac:dyDescent="0.2">
      <c r="A8" t="s">
        <v>90</v>
      </c>
    </row>
    <row r="9" spans="1:1" x14ac:dyDescent="0.2">
      <c r="A9" t="s">
        <v>13</v>
      </c>
    </row>
    <row r="10" spans="1:1" x14ac:dyDescent="0.2">
      <c r="A10" t="s">
        <v>91</v>
      </c>
    </row>
    <row r="11" spans="1:1" x14ac:dyDescent="0.2">
      <c r="A11" t="s">
        <v>92</v>
      </c>
    </row>
    <row r="12" spans="1:1" x14ac:dyDescent="0.2">
      <c r="A12" t="s">
        <v>93</v>
      </c>
    </row>
    <row r="13" spans="1:1" x14ac:dyDescent="0.2">
      <c r="A13" t="s">
        <v>13</v>
      </c>
    </row>
    <row r="14" spans="1:1" x14ac:dyDescent="0.2">
      <c r="A14" t="s">
        <v>94</v>
      </c>
    </row>
    <row r="15" spans="1:1" x14ac:dyDescent="0.2">
      <c r="A15" t="s">
        <v>95</v>
      </c>
    </row>
    <row r="16" spans="1:1" x14ac:dyDescent="0.2">
      <c r="A16" t="s">
        <v>96</v>
      </c>
    </row>
    <row r="17" spans="1:1" x14ac:dyDescent="0.2">
      <c r="A17" t="s">
        <v>97</v>
      </c>
    </row>
    <row r="18" spans="1:1" x14ac:dyDescent="0.2">
      <c r="A18" t="s">
        <v>13</v>
      </c>
    </row>
    <row r="19" spans="1:1" x14ac:dyDescent="0.2">
      <c r="A19" t="s">
        <v>98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2026-02-16T00:14:02Z</dcterms:created>
  <dcterms:modified xsi:type="dcterms:W3CDTF">2026-02-17T03:30:00Z</dcterms:modified>
</cp:coreProperties>
</file>