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C1AABBC4-62A3-8A49-BCFD-3E14865E2DFA}" xr6:coauthVersionLast="47" xr6:coauthVersionMax="47" xr10:uidLastSave="{00000000-0000-0000-0000-000000000000}"/>
  <bookViews>
    <workbookView xWindow="39600" yWindow="15640" windowWidth="27320" windowHeight="172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<sst xmlns="http://schemas.openxmlformats.org/spreadsheetml/2006/main" count="124" uniqueCount="90">
  <si>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</si>
  <si>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</si>
  <si>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</si>
  <si>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</si>
  <si>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</si>
  <si>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</si>
  <si>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</si>
  <si>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</si>
  <si>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</si>
  <si>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</si>
  <si>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property_code</t>
  </si>
  <si>
    <t>Property</t>
  </si>
  <si>
    <t>TRUE</t>
  </si>
  <si>
    <t/>
  </si>
  <si>
    <t>P1</t>
  </si>
  <si>
    <t>all</t>
  </si>
  <si>
    <t>Property code and name</t>
  </si>
  <si>
    <t>entity_name</t>
  </si>
  <si>
    <t>Ownership Entity</t>
  </si>
  <si>
    <t>P2</t>
  </si>
  <si>
    <t>Name of the owning entity</t>
  </si>
  <si>
    <t>equity_pct</t>
  </si>
  <si>
    <t>Equity %</t>
  </si>
  <si>
    <t>Entity ownership percentage (0–100)</t>
  </si>
  <si>
    <t>actions</t>
  </si>
  <si>
    <t>FALSE</t>
  </si>
  <si>
    <t>center</t>
  </si>
  <si>
    <t>Edit/delete action buttons</t>
  </si>
  <si>
    <t>Notes</t>
  </si>
  <si>
    <t>Optional notes about the ownership arrangement</t>
  </si>
  <si>
    <t>Parameter</t>
  </si>
  <si>
    <t>Value</t>
  </si>
  <si>
    <t>table_name</t>
  </si>
  <si>
    <t>property_ownership</t>
  </si>
  <si>
    <t>file_path</t>
  </si>
  <si>
    <t>layers/owners/pages/owners/property-ownership.vue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</si>
  <si>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</si>
  <si>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</si>
  <si>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</si>
  <si>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</si>
  <si>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</si>
  <si>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</si>
  <si>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</si>
  <si>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</si>
  <si>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</si>
  <si>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</si>
  <si>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</si>
  <si>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</si>
  <si>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</si>
  <si>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</si>
  <si>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</si>
  <si>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</si>
  <si>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</si>
  <si>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350px</t>
  </si>
  <si>
    <t>base (no class)</t>
  </si>
  <si>
    <t>Phone (portrait)</t>
  </si>
  <si>
    <t>2-3 columns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</si>
  <si>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</si>
  <si>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</si>
  <si>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</si>
  <si>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</si>
  <si>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</si>
  <si>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</si>
  <si>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</si>
  <si>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</si>
  <si>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</si>
  <si>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</si>
  <si>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</si>
  <si>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</si>
  <si>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</si>
  <si>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</si>
  <si>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</si>
  <si>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</si>
  <si>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</si>
  <si>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</si>
  <si>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property_ownership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</si>
  <si>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</si>
  <si>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</si>
  <si>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</si>
  <si>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</si>
  <si>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configs/table-configs/property_ownership.xlsx</t>
  </si>
  <si>
    <t>5. Copy generated code to: layers/owners/pages/owners/property-ownership.vue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</si>
  <si>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</si>
  <si>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</si>
  <si>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</si>
  <si>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</si>
  <si>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5</t>
  </si>
  <si>
    <t>Default Sort: property_code</t>
  </si>
  <si>
    <t>Filter Groups: 0</t>
  </si>
  <si>
    <t>For detailed documentation, see: /docs/tools/EXCEL_TABLE_CONFIG_TEMPLATE.md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</si>
</sst>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205" zoomScaleNormal="205" workbookViewId="0">
      <selection activeCell="E10" sqref="E10"/>
    </sheetView>
  </sheetViews>
  <sheetFormatPr baseColWidth="10" defaultRowHeight="16" x14ac:dyDescent="0.2"/>
  <cols>
    <col min="1" max="1" width="25.83203125" customWidth="1"/>
    <col min="2" max="2" width="20.83203125" customWidth="1"/>
    <col min="3" max="5" width="10.83203125" customWidth="1"/>
    <col min="6" max="6" width="12.83203125" customWidth="1"/>
    <col min="7" max="9" width="25.83203125" customWidth="1"/>
    <col min="10" max="10" width="3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260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15</v>
      </c>
      <c r="H2" t="s">
        <v>15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>
        <v>260</v>
      </c>
      <c r="D3" t="s">
        <v>12</v>
      </c>
      <c r="E3" t="s">
        <v>13</v>
      </c>
      <c r="F3" t="str">
        <f>IF(SUM($C$2:C3)&lt;=350,"P1",IF(SUM($C$2:C3)&lt;=780,"P2",IF(SUM($C$2:C3)&lt;=1140,"P3",IF(SUM($C$2:C3)&lt;=1880,"P4","P5"))))</f>
        <v>P2</v>
      </c>
      <c r="G3" t="s">
        <v>15</v>
      </c>
      <c r="H3" t="s">
        <v>15</v>
      </c>
      <c r="I3" t="s">
        <v>15</v>
      </c>
      <c r="J3" t="s">
        <v>20</v>
      </c>
    </row>
    <row r="4" spans="1:10" x14ac:dyDescent="0.2">
      <c r="A4" t="s">
        <v>21</v>
      </c>
      <c r="B4" t="s">
        <v>22</v>
      </c>
      <c r="C4">
        <v>120</v>
      </c>
      <c r="D4" t="s">
        <v>12</v>
      </c>
      <c r="E4" t="s">
        <v>26</v>
      </c>
      <c r="F4" t="str">
        <f>IF(SUM($C$2:C4)&lt;=350,"P1",IF(SUM($C$2:C4)&lt;=780,"P2",IF(SUM($C$2:C4)&lt;=1140,"P3",IF(SUM($C$2:C4)&lt;=1880,"P4","P5"))))</f>
        <v>P2</v>
      </c>
      <c r="G4" t="s">
        <v>15</v>
      </c>
      <c r="H4" t="s">
        <v>15</v>
      </c>
      <c r="I4" t="s">
        <v>15</v>
      </c>
      <c r="J4" t="s">
        <v>23</v>
      </c>
    </row>
    <row r="5" spans="1:10" x14ac:dyDescent="0.2">
      <c r="A5" t="s">
        <v>9</v>
      </c>
      <c r="B5" t="s">
        <v>28</v>
      </c>
      <c r="C5">
        <v>260</v>
      </c>
      <c r="D5" t="s">
        <v>25</v>
      </c>
      <c r="E5" t="s">
        <v>13</v>
      </c>
      <c r="F5" t="str">
        <f>IF(SUM($C$2:C5)&lt;=350,"P1",IF(SUM($C$2:C5)&lt;=780,"P2",IF(SUM($C$2:C5)&lt;=1140,"P3",IF(SUM($C$2:C5)&lt;=1880,"P4","P5"))))</f>
        <v>P3</v>
      </c>
      <c r="G5" t="s">
        <v>15</v>
      </c>
      <c r="H5" t="s">
        <v>15</v>
      </c>
      <c r="I5" t="s">
        <v>15</v>
      </c>
      <c r="J5" t="s">
        <v>29</v>
      </c>
    </row>
    <row r="6" spans="1:10" x14ac:dyDescent="0.2">
      <c r="A6" t="s">
        <v>24</v>
      </c>
      <c r="B6" t="s">
        <v>13</v>
      </c>
      <c r="C6">
        <v>160</v>
      </c>
      <c r="D6" t="s">
        <v>25</v>
      </c>
      <c r="E6" t="s">
        <v>26</v>
      </c>
      <c r="F6" t="str">
        <f>IF(SUM($C$2:C6)&lt;=350,"P1",IF(SUM($C$2:C6)&lt;=780,"P2",IF(SUM($C$2:C6)&lt;=1140,"P3",IF(SUM($C$2:C6)&lt;=1880,"P4","P5"))))</f>
        <v>P3</v>
      </c>
      <c r="G6" t="s">
        <v>15</v>
      </c>
      <c r="H6" t="s">
        <v>15</v>
      </c>
      <c r="I6" t="s">
        <v>15</v>
      </c>
      <c r="J6" t="s">
        <v>27</v>
      </c>
    </row>
  </sheetData>
  <pageMargins left="0.7" right="0.7" top="0.75" bottom="0.75" header="0.3" footer="0.3"/>
  <ignoredErrors>
    <ignoredError sqref="A1:J1 A3:B3 A2:B2 D2:E2 A5:B5 A4:B4 D4 G2:J2 G3:J3 G5:J5 G4:J4 D3:E3 D5: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25.83203125" customWidth="1"/>
    <col min="2" max="2" width="50.83203125" customWidth="1"/>
  </cols>
  <sheetData>
    <row r="1" spans="1:2" x14ac:dyDescent="0.2">
      <c r="A1" t="s">
        <v>30</v>
      </c>
      <c r="B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25</v>
      </c>
    </row>
    <row r="5" spans="1:2" x14ac:dyDescent="0.2">
      <c r="A5" t="s">
        <v>37</v>
      </c>
      <c r="B5" t="s">
        <v>10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12</v>
      </c>
    </row>
    <row r="8" spans="1:2" x14ac:dyDescent="0.2">
      <c r="A8" t="s">
        <v>41</v>
      </c>
      <c r="B8">
        <v>25</v>
      </c>
    </row>
    <row r="9" spans="1:2" x14ac:dyDescent="0.2">
      <c r="A9" t="s">
        <v>42</v>
      </c>
      <c r="B9" t="s">
        <v>12</v>
      </c>
    </row>
    <row r="10" spans="1:2" x14ac:dyDescent="0.2">
      <c r="A10" t="s">
        <v>43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cols>
    <col min="1" max="1" width="20.83203125" customWidth="1"/>
    <col min="2" max="2" width="25.83203125" customWidth="1"/>
    <col min="3" max="3" width="45.83203125" customWidth="1"/>
  </cols>
  <sheetData>
    <row r="1" spans="1:3" x14ac:dyDescent="0.2">
      <c r="A1" t="s">
        <v>44</v>
      </c>
      <c r="B1" t="s">
        <v>1</v>
      </c>
      <c r="C1" t="s">
        <v>45</v>
      </c>
    </row>
    <row r="2" spans="1:3" x14ac:dyDescent="0.2">
      <c r="A2" t="s">
        <v>15</v>
      </c>
      <c r="B2" t="s">
        <v>46</v>
      </c>
      <c r="C2" t="s">
        <v>47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 spans="1:5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2">
      <c r="A2" t="s">
        <v>14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">
      <c r="A3" t="s">
        <v>19</v>
      </c>
      <c r="B3" t="s">
        <v>57</v>
      </c>
      <c r="C3" t="s">
        <v>58</v>
      </c>
      <c r="D3" t="s">
        <v>59</v>
      </c>
      <c r="E3" t="s">
        <v>60</v>
      </c>
    </row>
    <row r="4" spans="1:5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">
      <c r="A5" t="s">
        <v>66</v>
      </c>
      <c r="B5" t="s">
        <v>67</v>
      </c>
      <c r="C5" t="s">
        <v>68</v>
      </c>
      <c r="D5" t="s">
        <v>69</v>
      </c>
      <c r="E5" t="s">
        <v>70</v>
      </c>
    </row>
    <row r="6" spans="1:5" x14ac:dyDescent="0.2">
      <c r="A6" t="s">
        <v>71</v>
      </c>
      <c r="B6" t="s">
        <v>72</v>
      </c>
      <c r="C6" t="s">
        <v>73</v>
      </c>
      <c r="D6" t="s">
        <v>74</v>
      </c>
      <c r="E6" t="s">
        <v>70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75</v>
      </c>
    </row>
    <row r="2" spans="1:1" x14ac:dyDescent="0.2">
      <c r="A2" t="s">
        <v>13</v>
      </c>
    </row>
    <row r="3" spans="1:1" x14ac:dyDescent="0.2">
      <c r="A3" t="s">
        <v>76</v>
      </c>
    </row>
    <row r="4" spans="1:1" x14ac:dyDescent="0.2">
      <c r="A4" t="s">
        <v>77</v>
      </c>
    </row>
    <row r="5" spans="1:1" x14ac:dyDescent="0.2">
      <c r="A5" t="s">
        <v>78</v>
      </c>
    </row>
    <row r="6" spans="1:1" x14ac:dyDescent="0.2">
      <c r="A6" t="s">
        <v>79</v>
      </c>
    </row>
    <row r="7" spans="1:1" x14ac:dyDescent="0.2">
      <c r="A7" t="s">
        <v>80</v>
      </c>
    </row>
    <row r="8" spans="1:1" x14ac:dyDescent="0.2">
      <c r="A8" t="s">
        <v>81</v>
      </c>
    </row>
    <row r="9" spans="1:1" x14ac:dyDescent="0.2">
      <c r="A9" t="s">
        <v>13</v>
      </c>
    </row>
    <row r="10" spans="1:1" x14ac:dyDescent="0.2">
      <c r="A10" t="s">
        <v>82</v>
      </c>
    </row>
    <row r="11" spans="1:1" x14ac:dyDescent="0.2">
      <c r="A11" t="s">
        <v>83</v>
      </c>
    </row>
    <row r="12" spans="1:1" x14ac:dyDescent="0.2">
      <c r="A12" t="s">
        <v>84</v>
      </c>
    </row>
    <row r="13" spans="1:1" x14ac:dyDescent="0.2">
      <c r="A13" t="s">
        <v>13</v>
      </c>
    </row>
    <row r="14" spans="1:1" x14ac:dyDescent="0.2">
      <c r="A14" t="s">
        <v>85</v>
      </c>
    </row>
    <row r="15" spans="1:1" x14ac:dyDescent="0.2">
      <c r="A15" t="s">
        <v>86</v>
      </c>
    </row>
    <row r="16" spans="1:1" x14ac:dyDescent="0.2">
      <c r="A16" t="s">
        <v>87</v>
      </c>
    </row>
    <row r="17" spans="1:1" x14ac:dyDescent="0.2">
      <c r="A17" t="s">
        <v>88</v>
      </c>
    </row>
    <row r="18" spans="1:1" x14ac:dyDescent="0.2">
      <c r="A18" t="s">
        <v>13</v>
      </c>
    </row>
    <row r="19" spans="1:1" x14ac:dyDescent="0.2">
      <c r="A19" t="s">
        <v>89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2026-02-25T07:58:53Z</dcterms:created>
  <dcterms:modified xsi:type="dcterms:W3CDTF">2026-02-25T08:02:10Z</dcterms:modified>
</cp:coreProperties>
</file>