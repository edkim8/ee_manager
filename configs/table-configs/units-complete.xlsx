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4C9F9353-7FCB-4C42-8994-FDEA7C50BEBE}" xr6:coauthVersionLast="47" xr6:coauthVersionMax="47" xr10:uidLastSave="{00000000-0000-0000-0000-000000000000}"/>
  <bookViews>
    <workbookView xWindow="151480" yWindow="20500" windowWidth="35640" windowHeight="1756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<sst xmlns="http://schemas.openxmlformats.org/spreadsheetml/2006/main" count="164" uniqueCount="107">
  <si>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</si>
  <si>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</si>
  <si>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</si>
  <si>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</si>
  <si>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</si>
  <si>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</si>
  <si>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</si>
  <si>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</si>
  <si>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</si>
  <si>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</si>
  <si>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unit_name</t>
  </si>
  <si>
    <t>Unit</t>
  </si>
  <si>
    <t>TRUE</t>
  </si>
  <si>
    <t/>
  </si>
  <si>
    <t>all</t>
  </si>
  <si>
    <t>Unit number/name</t>
  </si>
  <si>
    <t>building_name</t>
  </si>
  <si>
    <t>Building</t>
  </si>
  <si>
    <t>Building name</t>
  </si>
  <si>
    <t>resident_name</t>
  </si>
  <si>
    <t>Resident</t>
  </si>
  <si>
    <t>Current resident</t>
  </si>
  <si>
    <t>floor_plan_marketing_name</t>
  </si>
  <si>
    <t>Floor Plan</t>
  </si>
  <si>
    <t>Floor plan type</t>
  </si>
  <si>
    <t>b_b</t>
  </si>
  <si>
    <t>Bed/Bath</t>
  </si>
  <si>
    <t>center</t>
  </si>
  <si>
    <t>Bedroom x Bathroom (e.g., 3x2)</t>
  </si>
  <si>
    <t>sf</t>
  </si>
  <si>
    <t>SF</t>
  </si>
  <si>
    <t>Square footage</t>
  </si>
  <si>
    <t>tenancy_status</t>
  </si>
  <si>
    <t>Tenancy</t>
  </si>
  <si>
    <t>Current, Past, Future, Notice</t>
  </si>
  <si>
    <t>move_in_date</t>
  </si>
  <si>
    <t>In</t>
  </si>
  <si>
    <t>Move-in date</t>
  </si>
  <si>
    <t>move_out_date</t>
  </si>
  <si>
    <t>Out</t>
  </si>
  <si>
    <t>Move-out date</t>
  </si>
  <si>
    <t>floor_number</t>
  </si>
  <si>
    <t>Floor</t>
  </si>
  <si>
    <t>Floor number</t>
  </si>
  <si>
    <t>Parameter</t>
  </si>
  <si>
    <t>Value</t>
  </si>
  <si>
    <t>table_name</t>
  </si>
  <si>
    <t>units</t>
  </si>
  <si>
    <t>file_path</t>
  </si>
  <si>
    <t>layers/ops/pages/assets/units/index.vue</t>
  </si>
  <si>
    <t>has_filter_groups</t>
  </si>
  <si>
    <t>FALSE</t>
  </si>
  <si>
    <t>default_sort_field</t>
  </si>
  <si>
    <t>default_sort_direction</t>
  </si>
  <si>
    <t>asc</t>
  </si>
  <si>
    <t>enable_pagination</t>
  </si>
  <si>
    <t>page_size</t>
  </si>
  <si>
    <t>enable_export</t>
  </si>
  <si>
    <t>clickable_rows</t>
  </si>
  <si>
    <t>group_name</t>
  </si>
  <si>
    <t>description</t>
  </si>
  <si>
    <t>All Items</t>
  </si>
  <si>
    <t>Show all records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</si>
  <si>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</si>
  <si>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</si>
  <si>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</si>
  <si>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</si>
  <si>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</si>
  <si>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</si>
  <si>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</si>
  <si>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</si>
  <si>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</si>
  <si>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</si>
  <si>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</si>
  <si>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</si>
  <si>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</si>
  <si>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</si>
  <si>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</si>
  <si>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</si>
  <si>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</si>
  <si>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</si>
  <si>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</si>
  <si>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</si>
  <si>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</si>
  <si>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</si>
  <si>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</si>
  <si>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</si>
  <si>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</si>
  <si>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</si>
  <si>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</si>
  <si>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</si>
  <si>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</si>
  <si>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units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</si>
  <si>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</si>
  <si>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</si>
  <si>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</si>
  <si>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</si>
  <si>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configs/table-configs/units.xlsx</t>
  </si>
  <si>
    <t>5. Copy generated code to: layers/ops/pages/assets/units/index.vue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</si>
  <si>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</si>
  <si>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</si>
  <si>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</si>
  <si>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</si>
  <si>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10</t>
  </si>
  <si>
    <t>Default Sort: unit_name</t>
  </si>
  <si>
    <t>Filter Groups: 0</t>
  </si>
  <si>
    <t>For detailed documentation, see: /docs/tools/EXCEL_TABLE_CONFIG_TEMPLATE.md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</si>
</sst>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80" zoomScaleNormal="180" workbookViewId="0">
      <selection activeCell="A12" sqref="A12"/>
    </sheetView>
  </sheetViews>
  <sheetFormatPr baseColWidth="10" defaultRowHeight="16" x14ac:dyDescent="0.2"/>
  <cols>
    <col min="1" max="1" width="23.33203125" customWidth="1"/>
    <col min="7" max="7" width="16.5" customWidth="1"/>
    <col min="8" max="8" width="14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80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">
      <c r="A3" t="s">
        <v>25</v>
      </c>
      <c r="B3" t="s">
        <v>26</v>
      </c>
      <c r="C3">
        <v>80</v>
      </c>
      <c r="D3" t="s">
        <v>12</v>
      </c>
      <c r="E3" t="s">
        <v>27</v>
      </c>
      <c r="F3" t="str">
        <f>IF(SUM($C$2:C3)&lt;=350,"P1",IF(SUM($C$2:C3)&lt;=780,"P2",IF(SUM($C$2:C3)&lt;=1140,"P3",IF(SUM($C$2:C3)&lt;=1880,"P4","P5"))))</f>
        <v>P1</v>
      </c>
      <c r="G3" t="s">
        <v>14</v>
      </c>
      <c r="H3" t="s">
        <v>14</v>
      </c>
      <c r="I3" t="s">
        <v>14</v>
      </c>
      <c r="J3" t="s">
        <v>28</v>
      </c>
    </row>
    <row r="4" spans="1:10" x14ac:dyDescent="0.2">
      <c r="A4" t="s">
        <v>29</v>
      </c>
      <c r="B4" t="s">
        <v>30</v>
      </c>
      <c r="C4">
        <v>60</v>
      </c>
      <c r="D4" t="s">
        <v>12</v>
      </c>
      <c r="E4" t="s">
        <v>27</v>
      </c>
      <c r="F4" t="str">
        <f>IF(SUM($C$2:C4)&lt;=350,"P1",IF(SUM($C$2:C4)&lt;=780,"P2",IF(SUM($C$2:C4)&lt;=1140,"P3",IF(SUM($C$2:C4)&lt;=1880,"P4","P5"))))</f>
        <v>P1</v>
      </c>
      <c r="G4" t="s">
        <v>14</v>
      </c>
      <c r="H4" t="s">
        <v>14</v>
      </c>
      <c r="I4" t="s">
        <v>14</v>
      </c>
      <c r="J4" t="s">
        <v>31</v>
      </c>
    </row>
    <row r="5" spans="1:10" x14ac:dyDescent="0.2">
      <c r="A5" t="s">
        <v>22</v>
      </c>
      <c r="B5" t="s">
        <v>23</v>
      </c>
      <c r="C5">
        <v>160</v>
      </c>
      <c r="D5" t="s">
        <v>12</v>
      </c>
      <c r="E5" t="s">
        <v>13</v>
      </c>
      <c r="F5" t="str">
        <f>IF(SUM($C$2:C5)&lt;=350,"P1",IF(SUM($C$2:C5)&lt;=780,"P2",IF(SUM($C$2:C5)&lt;=1140,"P3",IF(SUM($C$2:C5)&lt;=1880,"P4","P5"))))</f>
        <v>P2</v>
      </c>
      <c r="G5" t="s">
        <v>14</v>
      </c>
      <c r="H5" t="s">
        <v>14</v>
      </c>
      <c r="I5" t="s">
        <v>14</v>
      </c>
      <c r="J5" t="s">
        <v>24</v>
      </c>
    </row>
    <row r="6" spans="1:10" x14ac:dyDescent="0.2">
      <c r="A6" t="s">
        <v>41</v>
      </c>
      <c r="B6" t="s">
        <v>42</v>
      </c>
      <c r="C6">
        <v>60</v>
      </c>
      <c r="D6" t="s">
        <v>12</v>
      </c>
      <c r="E6" t="s">
        <v>27</v>
      </c>
      <c r="F6" t="str">
        <f>IF(SUM($C$2:C6)&lt;=350,"P1",IF(SUM($C$2:C6)&lt;=780,"P2",IF(SUM($C$2:C6)&lt;=1140,"P3",IF(SUM($C$2:C6)&lt;=1880,"P4","P5"))))</f>
        <v>P2</v>
      </c>
      <c r="G6" t="s">
        <v>14</v>
      </c>
      <c r="H6" t="s">
        <v>14</v>
      </c>
      <c r="I6" t="s">
        <v>14</v>
      </c>
      <c r="J6" t="s">
        <v>43</v>
      </c>
    </row>
    <row r="7" spans="1:10" x14ac:dyDescent="0.2">
      <c r="A7" t="s">
        <v>19</v>
      </c>
      <c r="B7" t="s">
        <v>20</v>
      </c>
      <c r="C7">
        <v>200</v>
      </c>
      <c r="D7" t="s">
        <v>12</v>
      </c>
      <c r="E7" t="s">
        <v>13</v>
      </c>
      <c r="F7" t="str">
        <f>IF(SUM($C$2:C7)&lt;=350,"P1",IF(SUM($C$2:C7)&lt;=780,"P2",IF(SUM($C$2:C7)&lt;=1140,"P3",IF(SUM($C$2:C7)&lt;=1880,"P4","P5"))))</f>
        <v>P2</v>
      </c>
      <c r="G7" t="s">
        <v>14</v>
      </c>
      <c r="H7" t="s">
        <v>14</v>
      </c>
      <c r="I7" t="s">
        <v>14</v>
      </c>
      <c r="J7" t="s">
        <v>21</v>
      </c>
    </row>
    <row r="8" spans="1:10" x14ac:dyDescent="0.2">
      <c r="A8" t="s">
        <v>32</v>
      </c>
      <c r="B8" t="s">
        <v>33</v>
      </c>
      <c r="C8">
        <v>120</v>
      </c>
      <c r="D8" t="s">
        <v>12</v>
      </c>
      <c r="E8" t="s">
        <v>27</v>
      </c>
      <c r="F8" t="str">
        <f>IF(SUM($C$2:C8)&lt;=350,"P1",IF(SUM($C$2:C8)&lt;=780,"P2",IF(SUM($C$2:C8)&lt;=1140,"P3",IF(SUM($C$2:C8)&lt;=1880,"P4","P5"))))</f>
        <v>P2</v>
      </c>
      <c r="G8" t="s">
        <v>14</v>
      </c>
      <c r="H8" t="s">
        <v>14</v>
      </c>
      <c r="I8" t="s">
        <v>14</v>
      </c>
      <c r="J8" t="s">
        <v>34</v>
      </c>
    </row>
    <row r="9" spans="1:10" x14ac:dyDescent="0.2">
      <c r="A9" t="s">
        <v>35</v>
      </c>
      <c r="B9" t="s">
        <v>36</v>
      </c>
      <c r="C9">
        <v>110</v>
      </c>
      <c r="D9" t="s">
        <v>12</v>
      </c>
      <c r="E9" t="s">
        <v>27</v>
      </c>
      <c r="F9" t="str">
        <f>IF(SUM($C$2:C9)&lt;=350,"P1",IF(SUM($C$2:C9)&lt;=780,"P2",IF(SUM($C$2:C9)&lt;=1140,"P3",IF(SUM($C$2:C9)&lt;=1880,"P4","P5"))))</f>
        <v>P3</v>
      </c>
      <c r="G9" t="s">
        <v>14</v>
      </c>
      <c r="H9" t="s">
        <v>14</v>
      </c>
      <c r="I9" t="s">
        <v>14</v>
      </c>
      <c r="J9" t="s">
        <v>37</v>
      </c>
    </row>
    <row r="10" spans="1:10" x14ac:dyDescent="0.2">
      <c r="A10" t="s">
        <v>38</v>
      </c>
      <c r="B10" t="s">
        <v>39</v>
      </c>
      <c r="C10">
        <v>110</v>
      </c>
      <c r="D10" t="s">
        <v>12</v>
      </c>
      <c r="E10" t="s">
        <v>27</v>
      </c>
      <c r="F10" t="str">
        <f>IF(SUM($C$2:C10)&lt;=350,"P1",IF(SUM($C$2:C10)&lt;=780,"P2",IF(SUM($C$2:C10)&lt;=1140,"P3",IF(SUM($C$2:C10)&lt;=1880,"P4","P5"))))</f>
        <v>P3</v>
      </c>
      <c r="G10" t="s">
        <v>14</v>
      </c>
      <c r="H10" t="s">
        <v>14</v>
      </c>
      <c r="I10" t="s">
        <v>14</v>
      </c>
      <c r="J10" t="s">
        <v>40</v>
      </c>
    </row>
    <row r="11" spans="1:10" x14ac:dyDescent="0.2">
      <c r="A11" t="s">
        <v>16</v>
      </c>
      <c r="B11" t="s">
        <v>17</v>
      </c>
      <c r="C11">
        <v>120</v>
      </c>
      <c r="D11" t="s">
        <v>12</v>
      </c>
      <c r="E11" t="s">
        <v>13</v>
      </c>
      <c r="F11" t="str">
        <f>IF(SUM($C$2:C11)&lt;=350,"P1",IF(SUM($C$2:C11)&lt;=780,"P2",IF(SUM($C$2:C11)&lt;=1140,"P3",IF(SUM($C$2:C11)&lt;=1880,"P4","P5"))))</f>
        <v>P3</v>
      </c>
      <c r="G11" t="s">
        <v>14</v>
      </c>
      <c r="H11" t="s">
        <v>14</v>
      </c>
      <c r="I11" t="s">
        <v>14</v>
      </c>
      <c r="J11" t="s">
        <v>18</v>
      </c>
    </row>
  </sheetData>
  <pageMargins left="0.7" right="0.7" top="0.75" bottom="0.75" header="0.3" footer="0.3"/>
  <ignoredErrors>
    <ignoredError sqref="A7:B7 A1:J1 A8:E10 A2:B2 D2:J2 D7:E7 I7:J7 G8:J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40" zoomScaleNormal="140" workbookViewId="0">
      <selection activeCell="B17" sqref="B17"/>
    </sheetView>
  </sheetViews>
  <sheetFormatPr baseColWidth="10" defaultRowHeight="16" x14ac:dyDescent="0.2"/>
  <cols>
    <col min="1" max="1" width="22.6640625" customWidth="1"/>
    <col min="2" max="2" width="24.33203125" customWidth="1"/>
  </cols>
  <sheetData>
    <row r="1" spans="1:2" x14ac:dyDescent="0.2">
      <c r="A1" t="s">
        <v>44</v>
      </c>
      <c r="B1" t="s">
        <v>45</v>
      </c>
    </row>
    <row r="2" spans="1:2" x14ac:dyDescent="0.2">
      <c r="A2" t="s">
        <v>46</v>
      </c>
      <c r="B2" t="s">
        <v>47</v>
      </c>
    </row>
    <row r="3" spans="1:2" x14ac:dyDescent="0.2">
      <c r="A3" t="s">
        <v>48</v>
      </c>
      <c r="B3" t="s">
        <v>49</v>
      </c>
    </row>
    <row r="4" spans="1:2" x14ac:dyDescent="0.2">
      <c r="A4" t="s">
        <v>50</v>
      </c>
      <c r="B4" t="s">
        <v>51</v>
      </c>
    </row>
    <row r="5" spans="1:2" x14ac:dyDescent="0.2">
      <c r="A5" t="s">
        <v>52</v>
      </c>
      <c r="B5" t="s">
        <v>10</v>
      </c>
    </row>
    <row r="6" spans="1:2" x14ac:dyDescent="0.2">
      <c r="A6" t="s">
        <v>53</v>
      </c>
      <c r="B6" t="s">
        <v>54</v>
      </c>
    </row>
    <row r="7" spans="1:2" x14ac:dyDescent="0.2">
      <c r="A7" t="s">
        <v>55</v>
      </c>
      <c r="B7" t="s">
        <v>12</v>
      </c>
    </row>
    <row r="8" spans="1:2" x14ac:dyDescent="0.2">
      <c r="A8" t="s">
        <v>56</v>
      </c>
      <c r="B8">
        <v>25</v>
      </c>
    </row>
    <row r="9" spans="1:2" x14ac:dyDescent="0.2">
      <c r="A9" t="s">
        <v>57</v>
      </c>
      <c r="B9" t="s">
        <v>12</v>
      </c>
    </row>
    <row r="10" spans="1:2" x14ac:dyDescent="0.2">
      <c r="A10" t="s">
        <v>58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sheetData>
    <row r="1" spans="1:3" x14ac:dyDescent="0.2">
      <c r="A1" t="s">
        <v>59</v>
      </c>
      <c r="B1" t="s">
        <v>1</v>
      </c>
      <c r="C1" t="s">
        <v>60</v>
      </c>
    </row>
    <row r="2" spans="1:3" x14ac:dyDescent="0.2">
      <c r="A2" t="s">
        <v>14</v>
      </c>
      <c r="B2" t="s">
        <v>61</v>
      </c>
      <c r="C2" t="s">
        <v>62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63</v>
      </c>
      <c r="B1" t="s">
        <v>64</v>
      </c>
      <c r="C1" t="s">
        <v>65</v>
      </c>
      <c r="D1" t="s">
        <v>66</v>
      </c>
      <c r="E1" t="s">
        <v>67</v>
      </c>
    </row>
    <row r="2" spans="1:5" x14ac:dyDescent="0.2">
      <c r="A2" t="s">
        <v>68</v>
      </c>
      <c r="B2" t="s">
        <v>69</v>
      </c>
      <c r="C2" t="s">
        <v>70</v>
      </c>
      <c r="D2" t="s">
        <v>71</v>
      </c>
      <c r="E2" t="s">
        <v>72</v>
      </c>
    </row>
    <row r="3" spans="1:5" x14ac:dyDescent="0.2">
      <c r="A3" t="s">
        <v>73</v>
      </c>
      <c r="B3" t="s">
        <v>74</v>
      </c>
      <c r="C3" t="s">
        <v>75</v>
      </c>
      <c r="D3" t="s">
        <v>76</v>
      </c>
      <c r="E3" t="s">
        <v>77</v>
      </c>
    </row>
    <row r="4" spans="1:5" x14ac:dyDescent="0.2">
      <c r="A4" t="s">
        <v>78</v>
      </c>
      <c r="B4" t="s">
        <v>79</v>
      </c>
      <c r="C4" t="s">
        <v>80</v>
      </c>
      <c r="D4" t="s">
        <v>81</v>
      </c>
      <c r="E4" t="s">
        <v>82</v>
      </c>
    </row>
    <row r="5" spans="1:5" x14ac:dyDescent="0.2">
      <c r="A5" t="s">
        <v>83</v>
      </c>
      <c r="B5" t="s">
        <v>84</v>
      </c>
      <c r="C5" t="s">
        <v>85</v>
      </c>
      <c r="D5" t="s">
        <v>86</v>
      </c>
      <c r="E5" t="s">
        <v>87</v>
      </c>
    </row>
    <row r="6" spans="1:5" x14ac:dyDescent="0.2">
      <c r="A6" t="s">
        <v>88</v>
      </c>
      <c r="B6" t="s">
        <v>89</v>
      </c>
      <c r="C6" t="s">
        <v>90</v>
      </c>
      <c r="D6" t="s">
        <v>91</v>
      </c>
      <c r="E6" t="s">
        <v>87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92</v>
      </c>
    </row>
    <row r="2" spans="1:1" x14ac:dyDescent="0.2">
      <c r="A2" t="s">
        <v>13</v>
      </c>
    </row>
    <row r="3" spans="1:1" x14ac:dyDescent="0.2">
      <c r="A3" t="s">
        <v>93</v>
      </c>
    </row>
    <row r="4" spans="1:1" x14ac:dyDescent="0.2">
      <c r="A4" t="s">
        <v>94</v>
      </c>
    </row>
    <row r="5" spans="1:1" x14ac:dyDescent="0.2">
      <c r="A5" t="s">
        <v>95</v>
      </c>
    </row>
    <row r="6" spans="1:1" x14ac:dyDescent="0.2">
      <c r="A6" t="s">
        <v>96</v>
      </c>
    </row>
    <row r="7" spans="1:1" x14ac:dyDescent="0.2">
      <c r="A7" t="s">
        <v>97</v>
      </c>
    </row>
    <row r="8" spans="1:1" x14ac:dyDescent="0.2">
      <c r="A8" t="s">
        <v>98</v>
      </c>
    </row>
    <row r="9" spans="1:1" x14ac:dyDescent="0.2">
      <c r="A9" t="s">
        <v>13</v>
      </c>
    </row>
    <row r="10" spans="1:1" x14ac:dyDescent="0.2">
      <c r="A10" t="s">
        <v>99</v>
      </c>
    </row>
    <row r="11" spans="1:1" x14ac:dyDescent="0.2">
      <c r="A11" t="s">
        <v>100</v>
      </c>
    </row>
    <row r="12" spans="1:1" x14ac:dyDescent="0.2">
      <c r="A12" t="s">
        <v>101</v>
      </c>
    </row>
    <row r="13" spans="1:1" x14ac:dyDescent="0.2">
      <c r="A13" t="s">
        <v>13</v>
      </c>
    </row>
    <row r="14" spans="1:1" x14ac:dyDescent="0.2">
      <c r="A14" t="s">
        <v>102</v>
      </c>
    </row>
    <row r="15" spans="1:1" x14ac:dyDescent="0.2">
      <c r="A15" t="s">
        <v>103</v>
      </c>
    </row>
    <row r="16" spans="1:1" x14ac:dyDescent="0.2">
      <c r="A16" t="s">
        <v>104</v>
      </c>
    </row>
    <row r="17" spans="1:1" x14ac:dyDescent="0.2">
      <c r="A17" t="s">
        <v>105</v>
      </c>
    </row>
    <row r="18" spans="1:1" x14ac:dyDescent="0.2">
      <c r="A18" t="s">
        <v>13</v>
      </c>
    </row>
    <row r="19" spans="1:1" x14ac:dyDescent="0.2">
      <c r="A19" t="s">
        <v>106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2026-02-16T04:47:08Z</dcterms:created>
  <dcterms:modified xsi:type="dcterms:W3CDTF">2026-02-17T04:09:30Z</dcterms:modified>
</cp:coreProperties>
</file>