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E9C4652D-4EFD-8C4F-9F69-C49DF9A4D049}" xr6:coauthVersionLast="47" xr6:coauthVersionMax="47" xr10:uidLastSave="{00000000-0000-0000-0000-000000000000}"/>
  <bookViews>
    <workbookView xWindow="161140" yWindow="17660" windowWidth="23800" windowHeight="1462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<sst xmlns="http://schemas.openxmlformats.org/spreadsheetml/2006/main" count="165" uniqueCount="115">
  <si>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</si>
  <si>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</si>
  <si>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</si>
  <si>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</si>
  <si>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</si>
  <si>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</si>
  <si>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</si>
  <si>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</si>
  <si>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</si>
  <si>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</si>
  <si>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last_name</t>
  </si>
  <si>
    <t>TRUE</t>
  </si>
  <si>
    <t/>
  </si>
  <si>
    <t>all</t>
  </si>
  <si>
    <t>Resident last name</t>
  </si>
  <si>
    <t>unit_name</t>
  </si>
  <si>
    <t>Unit</t>
  </si>
  <si>
    <t>Unit number</t>
  </si>
  <si>
    <t>Status</t>
  </si>
  <si>
    <t>center</t>
  </si>
  <si>
    <t>Current, Future, Past, Notice</t>
  </si>
  <si>
    <t>email</t>
  </si>
  <si>
    <t>Email</t>
  </si>
  <si>
    <t>current,future,all</t>
  </si>
  <si>
    <t>Contact email - PII</t>
  </si>
  <si>
    <t>phone</t>
  </si>
  <si>
    <t>Phone</t>
  </si>
  <si>
    <t>Contact phone - PII</t>
  </si>
  <si>
    <t>move_in_date</t>
  </si>
  <si>
    <t>Move In</t>
  </si>
  <si>
    <t>Move-in date</t>
  </si>
  <si>
    <t>move_out_date</t>
  </si>
  <si>
    <t>Move Out</t>
  </si>
  <si>
    <t>current,past,all</t>
  </si>
  <si>
    <t>Move-out date</t>
  </si>
  <si>
    <t>lease_end_date</t>
  </si>
  <si>
    <t>Lease End</t>
  </si>
  <si>
    <t>current,all</t>
  </si>
  <si>
    <t>Lease expiration</t>
  </si>
  <si>
    <t>Parameter</t>
  </si>
  <si>
    <t>Value</t>
  </si>
  <si>
    <t>table_name</t>
  </si>
  <si>
    <t>residents</t>
  </si>
  <si>
    <t>file_path</t>
  </si>
  <si>
    <t>layers/ops/pages/office/residents/index.vue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</si>
  <si>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</si>
  <si>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</si>
  <si>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</si>
  <si>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</si>
  <si>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</si>
  <si>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</si>
  <si>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</si>
  <si>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</si>
  <si>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</si>
  <si>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</si>
  <si>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current</t>
  </si>
  <si>
    <t>Current</t>
  </si>
  <si>
    <t>Active residents</t>
  </si>
  <si>
    <t>future</t>
  </si>
  <si>
    <t>Future</t>
  </si>
  <si>
    <t>Upcoming move-ins</t>
  </si>
  <si>
    <t>past</t>
  </si>
  <si>
    <t>Past</t>
  </si>
  <si>
    <t>Moved out</t>
  </si>
  <si>
    <t>All</t>
  </si>
  <si>
    <t>All statuses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</si>
  <si>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</si>
  <si>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</si>
  <si>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</si>
  <si>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</si>
  <si>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</si>
  <si>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</si>
  <si>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</si>
  <si>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</si>
  <si>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</si>
  <si>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</si>
  <si>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</si>
  <si>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</si>
  <si>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</si>
  <si>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</si>
  <si>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</si>
  <si>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</si>
  <si>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</si>
  <si>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</si>
  <si>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</si>
  <si>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</si>
  <si>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</si>
  <si>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</si>
  <si>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</si>
  <si>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</si>
  <si>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</si>
  <si>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</si>
  <si>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</si>
  <si>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</si>
  <si>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</si>
  <si>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residents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</si>
  <si>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</si>
  <si>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</si>
  <si>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</si>
  <si>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</si>
  <si>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configs/table-configs/residents.xlsx</t>
  </si>
  <si>
    <t>5. Copy generated code to: layers/ops/pages/office/residents/index.vue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</si>
  <si>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</si>
  <si>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</si>
  <si>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</si>
  <si>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</si>
  <si>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9</t>
  </si>
  <si>
    <t>Default Sort: last_name</t>
  </si>
  <si>
    <t>Filter Groups: 4</t>
  </si>
  <si>
    <t>For detailed documentation, see: /docs/tools/EXCEL_TABLE_CONFIG_TEMPLATE.md</t>
  </si>
  <si>
    <t>lease_start_date</t>
  </si>
  <si>
    <t>Lease Start</t>
  </si>
  <si>
    <t>name</t>
  </si>
  <si>
    <t>Residents</t>
  </si>
  <si>
    <t>tenancy_status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</si>
</sst>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50" zoomScaleNormal="150" workbookViewId="0">
      <selection activeCell="D18" sqref="D18"/>
    </sheetView>
  </sheetViews>
  <sheetFormatPr baseColWidth="10" defaultRowHeight="16" x14ac:dyDescent="0.2"/>
  <cols>
    <col min="1" max="1" width="15.83203125" customWidth="1"/>
    <col min="7" max="7" width="14.6640625" customWidth="1"/>
    <col min="8" max="8" width="16.6640625" customWidth="1"/>
    <col min="9" max="9" width="2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112</v>
      </c>
      <c r="B2" t="s">
        <v>113</v>
      </c>
      <c r="C2">
        <v>260</v>
      </c>
      <c r="D2" t="s">
        <v>11</v>
      </c>
      <c r="E2" t="s">
        <v>12</v>
      </c>
      <c r="F2" t="str">
        <f>IF(SUM($C$2:C2)&lt;=350,"P1",IF(SUM($C$2:C2)&lt;=780,"P2",IF(SUM($C$2:C2)&lt;=1140,"P3",IF(SUM($C$2:C2)&lt;=1880,"P4","P5"))))</f>
        <v>P1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">
      <c r="A3" t="s">
        <v>15</v>
      </c>
      <c r="B3" t="s">
        <v>16</v>
      </c>
      <c r="C3">
        <v>80</v>
      </c>
      <c r="D3" t="s">
        <v>11</v>
      </c>
      <c r="E3" t="s">
        <v>12</v>
      </c>
      <c r="F3" t="str">
        <f>IF(SUM($C$2:C3)&lt;=350,"P1",IF(SUM($C$2:C3)&lt;=780,"P2",IF(SUM($C$2:C3)&lt;=1140,"P3",IF(SUM($C$2:C3)&lt;=1880,"P4","P5"))))</f>
        <v>P1</v>
      </c>
      <c r="G3" t="s">
        <v>13</v>
      </c>
      <c r="H3" t="s">
        <v>13</v>
      </c>
      <c r="I3" t="s">
        <v>13</v>
      </c>
      <c r="J3" t="s">
        <v>17</v>
      </c>
    </row>
    <row r="4" spans="1:10" x14ac:dyDescent="0.2">
      <c r="A4" t="s">
        <v>114</v>
      </c>
      <c r="B4" t="s">
        <v>18</v>
      </c>
      <c r="C4">
        <v>80</v>
      </c>
      <c r="D4" t="s">
        <v>11</v>
      </c>
      <c r="E4" t="s">
        <v>19</v>
      </c>
      <c r="F4" t="str">
        <f>IF(SUM($C$2:C4)&lt;=350,"P1",IF(SUM($C$2:C4)&lt;=780,"P2",IF(SUM($C$2:C4)&lt;=1140,"P3",IF(SUM($C$2:C4)&lt;=1880,"P4","P5"))))</f>
        <v>P2</v>
      </c>
      <c r="G4" t="s">
        <v>13</v>
      </c>
      <c r="H4" t="s">
        <v>13</v>
      </c>
      <c r="I4" t="s">
        <v>13</v>
      </c>
      <c r="J4" t="s">
        <v>20</v>
      </c>
    </row>
    <row r="5" spans="1:10" x14ac:dyDescent="0.2">
      <c r="A5" t="s">
        <v>110</v>
      </c>
      <c r="B5" t="s">
        <v>111</v>
      </c>
      <c r="C5">
        <v>100</v>
      </c>
      <c r="D5" t="s">
        <v>11</v>
      </c>
      <c r="E5" t="s">
        <v>19</v>
      </c>
      <c r="F5" t="str">
        <f>IF(SUM($C$2:C5)&lt;=350,"P1",IF(SUM($C$2:C5)&lt;=780,"P2",IF(SUM($C$2:C5)&lt;=1140,"P3",IF(SUM($C$2:C5)&lt;=1880,"P4","P5"))))</f>
        <v>P2</v>
      </c>
      <c r="G5" t="s">
        <v>13</v>
      </c>
      <c r="H5" t="s">
        <v>13</v>
      </c>
      <c r="I5" t="s">
        <v>37</v>
      </c>
      <c r="J5" t="s">
        <v>38</v>
      </c>
    </row>
    <row r="6" spans="1:10" x14ac:dyDescent="0.2">
      <c r="A6" t="s">
        <v>35</v>
      </c>
      <c r="B6" t="s">
        <v>36</v>
      </c>
      <c r="C6">
        <v>100</v>
      </c>
      <c r="D6" t="s">
        <v>11</v>
      </c>
      <c r="E6" t="s">
        <v>19</v>
      </c>
      <c r="F6" t="str">
        <f>IF(SUM($C$2:C6)&lt;=350,"P1",IF(SUM($C$2:C6)&lt;=780,"P2",IF(SUM($C$2:C6)&lt;=1140,"P3",IF(SUM($C$2:C6)&lt;=1880,"P4","P5"))))</f>
        <v>P2</v>
      </c>
      <c r="G6" t="s">
        <v>13</v>
      </c>
      <c r="H6" t="s">
        <v>13</v>
      </c>
      <c r="I6" t="s">
        <v>37</v>
      </c>
      <c r="J6" t="s">
        <v>38</v>
      </c>
    </row>
    <row r="7" spans="1:10" x14ac:dyDescent="0.2">
      <c r="A7" t="s">
        <v>28</v>
      </c>
      <c r="B7" t="s">
        <v>29</v>
      </c>
      <c r="C7">
        <v>100</v>
      </c>
      <c r="D7" t="s">
        <v>11</v>
      </c>
      <c r="E7" t="s">
        <v>19</v>
      </c>
      <c r="F7" t="str">
        <f>IF(SUM($C$2:C7)&lt;=350,"P1",IF(SUM($C$2:C7)&lt;=780,"P2",IF(SUM($C$2:C7)&lt;=1140,"P3",IF(SUM($C$2:C7)&lt;=1880,"P4","P5"))))</f>
        <v>P2</v>
      </c>
      <c r="G7" t="s">
        <v>13</v>
      </c>
      <c r="H7" t="s">
        <v>13</v>
      </c>
      <c r="I7" t="s">
        <v>23</v>
      </c>
      <c r="J7" t="s">
        <v>30</v>
      </c>
    </row>
    <row r="8" spans="1:10" x14ac:dyDescent="0.2">
      <c r="A8" t="s">
        <v>31</v>
      </c>
      <c r="B8" t="s">
        <v>32</v>
      </c>
      <c r="C8">
        <v>100</v>
      </c>
      <c r="D8" t="s">
        <v>11</v>
      </c>
      <c r="E8" t="s">
        <v>19</v>
      </c>
      <c r="F8" t="str">
        <f>IF(SUM($C$2:C8)&lt;=350,"P1",IF(SUM($C$2:C8)&lt;=780,"P2",IF(SUM($C$2:C8)&lt;=1140,"P3",IF(SUM($C$2:C8)&lt;=1880,"P4","P5"))))</f>
        <v>P3</v>
      </c>
      <c r="G8" t="s">
        <v>13</v>
      </c>
      <c r="H8" t="s">
        <v>13</v>
      </c>
      <c r="I8" t="s">
        <v>33</v>
      </c>
      <c r="J8" t="s">
        <v>34</v>
      </c>
    </row>
    <row r="9" spans="1:10" x14ac:dyDescent="0.2">
      <c r="A9" t="s">
        <v>21</v>
      </c>
      <c r="B9" t="s">
        <v>22</v>
      </c>
      <c r="C9">
        <v>160</v>
      </c>
      <c r="D9" t="s">
        <v>11</v>
      </c>
      <c r="E9" t="s">
        <v>12</v>
      </c>
      <c r="F9" t="str">
        <f>IF(SUM($C$2:C9)&lt;=350,"P1",IF(SUM($C$2:C9)&lt;=780,"P2",IF(SUM($C$2:C9)&lt;=1140,"P3",IF(SUM($C$2:C9)&lt;=1880,"P4","P5"))))</f>
        <v>P3</v>
      </c>
      <c r="G9" t="s">
        <v>13</v>
      </c>
      <c r="H9" t="s">
        <v>13</v>
      </c>
      <c r="I9" t="s">
        <v>23</v>
      </c>
      <c r="J9" t="s">
        <v>24</v>
      </c>
    </row>
    <row r="10" spans="1:10" x14ac:dyDescent="0.2">
      <c r="A10" t="s">
        <v>25</v>
      </c>
      <c r="B10" t="s">
        <v>26</v>
      </c>
      <c r="C10">
        <v>120</v>
      </c>
      <c r="D10" t="s">
        <v>11</v>
      </c>
      <c r="E10" t="s">
        <v>12</v>
      </c>
      <c r="F10" t="str">
        <f>IF(SUM($C$2:C10)&lt;=350,"P1",IF(SUM($C$2:C10)&lt;=780,"P2",IF(SUM($C$2:C10)&lt;=1140,"P3",IF(SUM($C$2:C10)&lt;=1880,"P4","P5"))))</f>
        <v>P3</v>
      </c>
      <c r="G10" t="s">
        <v>13</v>
      </c>
      <c r="H10" t="s">
        <v>13</v>
      </c>
      <c r="I10" t="s">
        <v>23</v>
      </c>
      <c r="J10" t="s">
        <v>27</v>
      </c>
    </row>
  </sheetData>
  <pageMargins left="0.7" right="0.7" top="0.75" bottom="0.75" header="0.3" footer="0.3"/>
  <ignoredErrors>
    <ignoredError sqref="A1:J1 A7:B8 D2:J2 D7:E8 G7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39</v>
      </c>
      <c r="B1" t="s">
        <v>40</v>
      </c>
    </row>
    <row r="2" spans="1:2" x14ac:dyDescent="0.2">
      <c r="A2" t="s">
        <v>41</v>
      </c>
      <c r="B2" t="s">
        <v>42</v>
      </c>
    </row>
    <row r="3" spans="1:2" x14ac:dyDescent="0.2">
      <c r="A3" t="s">
        <v>43</v>
      </c>
      <c r="B3" t="s">
        <v>44</v>
      </c>
    </row>
    <row r="4" spans="1:2" x14ac:dyDescent="0.2">
      <c r="A4" t="s">
        <v>45</v>
      </c>
      <c r="B4" t="s">
        <v>11</v>
      </c>
    </row>
    <row r="5" spans="1:2" x14ac:dyDescent="0.2">
      <c r="A5" t="s">
        <v>46</v>
      </c>
      <c r="B5" t="s">
        <v>10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 t="s">
        <v>11</v>
      </c>
    </row>
    <row r="8" spans="1:2" x14ac:dyDescent="0.2">
      <c r="A8" t="s">
        <v>50</v>
      </c>
      <c r="B8">
        <v>25</v>
      </c>
    </row>
    <row r="9" spans="1:2" x14ac:dyDescent="0.2">
      <c r="A9" t="s">
        <v>51</v>
      </c>
      <c r="B9" t="s">
        <v>11</v>
      </c>
    </row>
    <row r="10" spans="1:2" x14ac:dyDescent="0.2">
      <c r="A10" t="s">
        <v>52</v>
      </c>
      <c r="B10" t="s">
        <v>11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RowHeight="16" x14ac:dyDescent="0.2"/>
  <sheetData>
    <row r="1" spans="1:3" x14ac:dyDescent="0.2">
      <c r="A1" t="s">
        <v>53</v>
      </c>
      <c r="B1" t="s">
        <v>1</v>
      </c>
      <c r="C1" t="s">
        <v>54</v>
      </c>
    </row>
    <row r="2" spans="1:3" x14ac:dyDescent="0.2">
      <c r="A2" t="s">
        <v>55</v>
      </c>
      <c r="B2" t="s">
        <v>56</v>
      </c>
      <c r="C2" t="s">
        <v>57</v>
      </c>
    </row>
    <row r="3" spans="1:3" x14ac:dyDescent="0.2">
      <c r="A3" t="s">
        <v>58</v>
      </c>
      <c r="B3" t="s">
        <v>59</v>
      </c>
      <c r="C3" t="s">
        <v>60</v>
      </c>
    </row>
    <row r="4" spans="1:3" x14ac:dyDescent="0.2">
      <c r="A4" t="s">
        <v>61</v>
      </c>
      <c r="B4" t="s">
        <v>62</v>
      </c>
      <c r="C4" t="s">
        <v>63</v>
      </c>
    </row>
    <row r="5" spans="1:3" x14ac:dyDescent="0.2">
      <c r="A5" t="s">
        <v>13</v>
      </c>
      <c r="B5" t="s">
        <v>64</v>
      </c>
      <c r="C5" t="s">
        <v>65</v>
      </c>
    </row>
  </sheetData>
  <pageMargins left="0.7" right="0.7" top="0.75" bottom="0.75" header="0.3" footer="0.3"/>
  <ignoredErrors>
    <ignoredError sqref="A1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">
      <c r="A2" t="s">
        <v>71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2">
      <c r="A3" t="s">
        <v>76</v>
      </c>
      <c r="B3" t="s">
        <v>77</v>
      </c>
      <c r="C3" t="s">
        <v>78</v>
      </c>
      <c r="D3" t="s">
        <v>79</v>
      </c>
      <c r="E3" t="s">
        <v>80</v>
      </c>
    </row>
    <row r="4" spans="1:5" x14ac:dyDescent="0.2">
      <c r="A4" t="s">
        <v>81</v>
      </c>
      <c r="B4" t="s">
        <v>82</v>
      </c>
      <c r="C4" t="s">
        <v>83</v>
      </c>
      <c r="D4" t="s">
        <v>84</v>
      </c>
      <c r="E4" t="s">
        <v>85</v>
      </c>
    </row>
    <row r="5" spans="1:5" x14ac:dyDescent="0.2">
      <c r="A5" t="s">
        <v>86</v>
      </c>
      <c r="B5" t="s">
        <v>87</v>
      </c>
      <c r="C5" t="s">
        <v>88</v>
      </c>
      <c r="D5" t="s">
        <v>89</v>
      </c>
      <c r="E5" t="s">
        <v>90</v>
      </c>
    </row>
    <row r="6" spans="1:5" x14ac:dyDescent="0.2">
      <c r="A6" t="s">
        <v>91</v>
      </c>
      <c r="B6" t="s">
        <v>92</v>
      </c>
      <c r="C6" t="s">
        <v>93</v>
      </c>
      <c r="D6" t="s">
        <v>94</v>
      </c>
      <c r="E6" t="s">
        <v>90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95</v>
      </c>
    </row>
    <row r="2" spans="1:1" x14ac:dyDescent="0.2">
      <c r="A2" t="s">
        <v>12</v>
      </c>
    </row>
    <row r="3" spans="1:1" x14ac:dyDescent="0.2">
      <c r="A3" t="s">
        <v>96</v>
      </c>
    </row>
    <row r="4" spans="1:1" x14ac:dyDescent="0.2">
      <c r="A4" t="s">
        <v>97</v>
      </c>
    </row>
    <row r="5" spans="1:1" x14ac:dyDescent="0.2">
      <c r="A5" t="s">
        <v>98</v>
      </c>
    </row>
    <row r="6" spans="1:1" x14ac:dyDescent="0.2">
      <c r="A6" t="s">
        <v>99</v>
      </c>
    </row>
    <row r="7" spans="1:1" x14ac:dyDescent="0.2">
      <c r="A7" t="s">
        <v>100</v>
      </c>
    </row>
    <row r="8" spans="1:1" x14ac:dyDescent="0.2">
      <c r="A8" t="s">
        <v>101</v>
      </c>
    </row>
    <row r="9" spans="1:1" x14ac:dyDescent="0.2">
      <c r="A9" t="s">
        <v>12</v>
      </c>
    </row>
    <row r="10" spans="1:1" x14ac:dyDescent="0.2">
      <c r="A10" t="s">
        <v>102</v>
      </c>
    </row>
    <row r="11" spans="1:1" x14ac:dyDescent="0.2">
      <c r="A11" t="s">
        <v>103</v>
      </c>
    </row>
    <row r="12" spans="1:1" x14ac:dyDescent="0.2">
      <c r="A12" t="s">
        <v>104</v>
      </c>
    </row>
    <row r="13" spans="1:1" x14ac:dyDescent="0.2">
      <c r="A13" t="s">
        <v>12</v>
      </c>
    </row>
    <row r="14" spans="1:1" x14ac:dyDescent="0.2">
      <c r="A14" t="s">
        <v>105</v>
      </c>
    </row>
    <row r="15" spans="1:1" x14ac:dyDescent="0.2">
      <c r="A15" t="s">
        <v>106</v>
      </c>
    </row>
    <row r="16" spans="1:1" x14ac:dyDescent="0.2">
      <c r="A16" t="s">
        <v>107</v>
      </c>
    </row>
    <row r="17" spans="1:1" x14ac:dyDescent="0.2">
      <c r="A17" t="s">
        <v>108</v>
      </c>
    </row>
    <row r="18" spans="1:1" x14ac:dyDescent="0.2">
      <c r="A18" t="s">
        <v>12</v>
      </c>
    </row>
    <row r="19" spans="1:1" x14ac:dyDescent="0.2">
      <c r="A19" t="s">
        <v>109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2026-02-16T15:32:21Z</dcterms:created>
  <dcterms:modified xsi:type="dcterms:W3CDTF">2026-02-17T04:39:56Z</dcterms:modified>
</cp:coreProperties>
</file>