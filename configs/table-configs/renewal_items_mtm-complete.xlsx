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Library/CloudStorage/Dropbox/Data/Table Formatter/"/>
    </mc:Choice>
  </mc:AlternateContent>
  <xr:revisionPtr revIDLastSave="0" documentId="8_{F9695391-8248-944F-8945-6ABEB08EF9AA}" xr6:coauthVersionLast="47" xr6:coauthVersionMax="47" xr10:uidLastSave="{00000000-0000-0000-0000-000000000000}"/>
  <bookViews>
    <workbookView xWindow="41800" yWindow="22200" windowWidth="22380" windowHeight="1756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9" i="1"/>
  <c r="F7" i="1"/>
  <c r="F11" i="1"/>
  <c r="F10" i="1"/>
  <c r="F8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<sst xmlns="http://schemas.openxmlformats.org/spreadsheetml/2006/main" count="185" uniqueCount="118">
  <si>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</si>
  <si>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</si>
  <si>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</si>
  <si>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</si>
  <si>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</si>
  <si>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</si>
  <si>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</si>
  <si>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</si>
  <si>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</si>
  <si>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</si>
  <si>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unit_name</t>
  </si>
  <si>
    <t>Unit</t>
  </si>
  <si>
    <t>TRUE</t>
  </si>
  <si>
    <t/>
  </si>
  <si>
    <t>all</t>
  </si>
  <si>
    <t>Unit number</t>
  </si>
  <si>
    <t>resident_name</t>
  </si>
  <si>
    <t>Resident</t>
  </si>
  <si>
    <t>Resident name</t>
  </si>
  <si>
    <t>floor_plan</t>
  </si>
  <si>
    <t>Floor Plan</t>
  </si>
  <si>
    <t>Floor plan type</t>
  </si>
  <si>
    <t>MTM Since</t>
  </si>
  <si>
    <t>center</t>
  </si>
  <si>
    <t>MTM start date</t>
  </si>
  <si>
    <t>days_on_mtm</t>
  </si>
  <si>
    <t>Days MTM</t>
  </si>
  <si>
    <t>Duration on MTM</t>
  </si>
  <si>
    <t>current_rent</t>
  </si>
  <si>
    <t>Current</t>
  </si>
  <si>
    <t>right</t>
  </si>
  <si>
    <t>admin,finance</t>
  </si>
  <si>
    <t>finance,leasing</t>
  </si>
  <si>
    <t>Current rent</t>
  </si>
  <si>
    <t>market_rent</t>
  </si>
  <si>
    <t>Market</t>
  </si>
  <si>
    <t>Market rent</t>
  </si>
  <si>
    <t>New MTM rate</t>
  </si>
  <si>
    <t>Most recent rent increase</t>
  </si>
  <si>
    <t>Parameter</t>
  </si>
  <si>
    <t>Value</t>
  </si>
  <si>
    <t>table_name</t>
  </si>
  <si>
    <t>renewal_items_mtm</t>
  </si>
  <si>
    <t>file_path</t>
  </si>
  <si>
    <t>layers/ops/pages/office/renewals/items-mtm.vue</t>
  </si>
  <si>
    <t>has_filter_groups</t>
  </si>
  <si>
    <t>FALSE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</si>
  <si>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</si>
  <si>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</si>
  <si>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</si>
  <si>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</si>
  <si>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</si>
  <si>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</si>
  <si>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</si>
  <si>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</si>
  <si>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</si>
  <si>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</si>
  <si>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</si>
  <si>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</si>
  <si>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</si>
  <si>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</si>
  <si>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</si>
  <si>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</si>
  <si>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</si>
  <si>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</si>
  <si>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</si>
  <si>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</si>
  <si>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</si>
  <si>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</si>
  <si>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</si>
  <si>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</si>
  <si>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</si>
  <si>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</si>
  <si>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</si>
  <si>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</si>
  <si>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</si>
  <si>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</si>
  <si>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</si>
  <si>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</si>
  <si>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</si>
  <si>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</si>
  <si>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</si>
  <si>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</si>
  <si>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</si>
  <si>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</si>
  <si>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</si>
  <si>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</si>
  <si>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renewal_items_mtm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</si>
  <si>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</si>
  <si>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</si>
  <si>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</si>
  <si>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</si>
  <si>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configs/table-configs/renewal_items_mtm.xlsx</t>
  </si>
  <si>
    <t>5. Copy generated code to: layers/ops/pages/office/renewals/items-mtm.vue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</si>
  <si>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</si>
  <si>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</si>
  <si>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</si>
  <si>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</si>
  <si>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9</t>
  </si>
  <si>
    <t>Default Sort: unit_name</t>
  </si>
  <si>
    <t>Filter Groups: 0</t>
  </si>
  <si>
    <t>For detailed documentation, see: /docs/tools/EXCEL_TABLE_CONFIG_TEMPLATE.md</t>
  </si>
  <si>
    <t>lease_to_date</t>
  </si>
  <si>
    <t>mtm_rent</t>
  </si>
  <si>
    <t>MTM Rent</t>
  </si>
  <si>
    <t>final_rent</t>
  </si>
  <si>
    <t>Offered Rent</t>
  </si>
  <si>
    <t>last_mtm_offer_date</t>
  </si>
  <si>
    <t>Last Offered</t>
  </si>
  <si>
    <t>status</t>
  </si>
  <si>
    <t>Status</t>
  </si>
  <si>
    <t>Manager, RPM, Asset</t>
  </si>
  <si>
    <t>Management, Leasing</t>
  </si>
  <si>
    <t>Renewal term</t>
  </si>
  <si>
    <t>approved</t>
  </si>
  <si>
    <t>Approved</t>
  </si>
  <si>
    <t>actions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</si>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</sst>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70" zoomScaleNormal="170" workbookViewId="0">
      <selection activeCell="B17" sqref="B17"/>
    </sheetView>
  </sheetViews>
  <sheetFormatPr baseColWidth="10" defaultRowHeight="16" x14ac:dyDescent="0.2"/>
  <cols>
    <col min="1" max="1" width="27" customWidth="1"/>
    <col min="2" max="2" width="12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100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 t="s">
        <v>16</v>
      </c>
      <c r="B3" t="s">
        <v>17</v>
      </c>
      <c r="C3">
        <v>180</v>
      </c>
      <c r="D3" t="s">
        <v>12</v>
      </c>
      <c r="E3" t="s">
        <v>13</v>
      </c>
      <c r="F3" t="str">
        <f>IF(SUM($C$2:C3)&lt;=350,"P1",IF(SUM($C$2:C3)&lt;=780,"P2",IF(SUM($C$2:C3)&lt;=1140,"P3",IF(SUM($C$2:C3)&lt;=1880,"P4","P5"))))</f>
        <v>P1</v>
      </c>
      <c r="G3" t="s">
        <v>14</v>
      </c>
      <c r="H3" t="s">
        <v>14</v>
      </c>
      <c r="I3" t="s">
        <v>14</v>
      </c>
      <c r="J3" t="s">
        <v>18</v>
      </c>
    </row>
    <row r="4" spans="1:10" x14ac:dyDescent="0.2">
      <c r="A4" t="s">
        <v>19</v>
      </c>
      <c r="B4" t="s">
        <v>20</v>
      </c>
      <c r="C4">
        <v>130</v>
      </c>
      <c r="D4" t="s">
        <v>12</v>
      </c>
      <c r="E4" t="s">
        <v>13</v>
      </c>
      <c r="F4" t="str">
        <f>IF(SUM($C$2:C4)&lt;=350,"P1",IF(SUM($C$2:C4)&lt;=780,"P2",IF(SUM($C$2:C4)&lt;=1140,"P3",IF(SUM($C$2:C4)&lt;=1880,"P4","P5"))))</f>
        <v>P2</v>
      </c>
      <c r="G4" t="s">
        <v>14</v>
      </c>
      <c r="H4" t="s">
        <v>14</v>
      </c>
      <c r="I4" t="s">
        <v>14</v>
      </c>
      <c r="J4" t="s">
        <v>21</v>
      </c>
    </row>
    <row r="5" spans="1:10" x14ac:dyDescent="0.2">
      <c r="A5" t="s">
        <v>102</v>
      </c>
      <c r="B5" t="s">
        <v>22</v>
      </c>
      <c r="C5">
        <v>110</v>
      </c>
      <c r="D5" t="s">
        <v>12</v>
      </c>
      <c r="E5" t="s">
        <v>23</v>
      </c>
      <c r="F5" t="str">
        <f>IF(SUM($C$2:C5)&lt;=350,"P1",IF(SUM($C$2:C5)&lt;=780,"P2",IF(SUM($C$2:C5)&lt;=1140,"P3",IF(SUM($C$2:C5)&lt;=1880,"P4","P5"))))</f>
        <v>P2</v>
      </c>
      <c r="G5" t="s">
        <v>14</v>
      </c>
      <c r="H5" t="s">
        <v>14</v>
      </c>
      <c r="I5" t="s">
        <v>14</v>
      </c>
      <c r="J5" t="s">
        <v>24</v>
      </c>
    </row>
    <row r="6" spans="1:10" x14ac:dyDescent="0.2">
      <c r="A6" t="s">
        <v>25</v>
      </c>
      <c r="B6" t="s">
        <v>26</v>
      </c>
      <c r="C6">
        <v>80</v>
      </c>
      <c r="D6" t="s">
        <v>12</v>
      </c>
      <c r="E6" t="s">
        <v>23</v>
      </c>
      <c r="F6" t="str">
        <f>IF(SUM($C$2:C6)&lt;=350,"P1",IF(SUM($C$2:C6)&lt;=780,"P2",IF(SUM($C$2:C6)&lt;=1140,"P3",IF(SUM($C$2:C6)&lt;=1880,"P4","P5"))))</f>
        <v>P2</v>
      </c>
      <c r="G6" t="s">
        <v>14</v>
      </c>
      <c r="H6" t="s">
        <v>14</v>
      </c>
      <c r="I6" t="s">
        <v>14</v>
      </c>
      <c r="J6" t="s">
        <v>27</v>
      </c>
    </row>
    <row r="7" spans="1:10" x14ac:dyDescent="0.2">
      <c r="A7" t="s">
        <v>34</v>
      </c>
      <c r="B7" t="s">
        <v>35</v>
      </c>
      <c r="C7">
        <v>100</v>
      </c>
      <c r="D7" t="s">
        <v>12</v>
      </c>
      <c r="E7" t="s">
        <v>30</v>
      </c>
      <c r="F7" t="str">
        <f>IF(SUM($C$2:C7)&lt;=350,"P1",IF(SUM($C$2:C7)&lt;=780,"P2",IF(SUM($C$2:C7)&lt;=1140,"P3",IF(SUM($C$2:C7)&lt;=1880,"P4","P5"))))</f>
        <v>P2</v>
      </c>
      <c r="G7" t="s">
        <v>31</v>
      </c>
      <c r="H7" t="s">
        <v>32</v>
      </c>
      <c r="I7" t="s">
        <v>14</v>
      </c>
      <c r="J7" t="s">
        <v>36</v>
      </c>
    </row>
    <row r="8" spans="1:10" x14ac:dyDescent="0.2">
      <c r="A8" t="s">
        <v>28</v>
      </c>
      <c r="B8" t="s">
        <v>29</v>
      </c>
      <c r="C8">
        <v>100</v>
      </c>
      <c r="D8" t="s">
        <v>12</v>
      </c>
      <c r="E8" t="s">
        <v>30</v>
      </c>
      <c r="F8" t="str">
        <f>IF(SUM($C$2:C8)&lt;=350,"P1",IF(SUM($C$2:C8)&lt;=780,"P2",IF(SUM($C$2:C8)&lt;=1140,"P3",IF(SUM($C$2:C8)&lt;=1880,"P4","P5"))))</f>
        <v>P3</v>
      </c>
      <c r="G8" t="s">
        <v>31</v>
      </c>
      <c r="H8" t="s">
        <v>32</v>
      </c>
      <c r="I8" t="s">
        <v>14</v>
      </c>
      <c r="J8" t="s">
        <v>33</v>
      </c>
    </row>
    <row r="9" spans="1:10" x14ac:dyDescent="0.2">
      <c r="A9" t="s">
        <v>103</v>
      </c>
      <c r="B9" t="s">
        <v>104</v>
      </c>
      <c r="C9">
        <v>100</v>
      </c>
      <c r="D9" t="s">
        <v>12</v>
      </c>
      <c r="E9" t="s">
        <v>30</v>
      </c>
      <c r="F9" t="str">
        <f>IF(SUM($C$2:C9)&lt;=350,"P1",IF(SUM($C$2:C9)&lt;=780,"P2",IF(SUM($C$2:C9)&lt;=1140,"P3",IF(SUM($C$2:C9)&lt;=1880,"P4","P5"))))</f>
        <v>P3</v>
      </c>
      <c r="G9" t="s">
        <v>31</v>
      </c>
      <c r="H9" t="s">
        <v>32</v>
      </c>
      <c r="I9" t="s">
        <v>14</v>
      </c>
      <c r="J9" t="s">
        <v>37</v>
      </c>
    </row>
    <row r="10" spans="1:10" x14ac:dyDescent="0.2">
      <c r="A10" t="s">
        <v>105</v>
      </c>
      <c r="B10" t="s">
        <v>106</v>
      </c>
      <c r="C10">
        <v>100</v>
      </c>
      <c r="D10" t="s">
        <v>12</v>
      </c>
      <c r="E10" t="s">
        <v>30</v>
      </c>
      <c r="F10" t="str">
        <f>IF(SUM($C$2:C10)&lt;=350,"P1",IF(SUM($C$2:C10)&lt;=780,"P2",IF(SUM($C$2:C10)&lt;=1140,"P3",IF(SUM($C$2:C10)&lt;=1880,"P4","P5"))))</f>
        <v>P3</v>
      </c>
      <c r="G10" t="s">
        <v>31</v>
      </c>
      <c r="H10" t="s">
        <v>32</v>
      </c>
      <c r="I10" t="s">
        <v>14</v>
      </c>
      <c r="J10" t="s">
        <v>37</v>
      </c>
    </row>
    <row r="11" spans="1:10" x14ac:dyDescent="0.2">
      <c r="A11" t="s">
        <v>107</v>
      </c>
      <c r="B11" t="s">
        <v>108</v>
      </c>
      <c r="C11">
        <v>110</v>
      </c>
      <c r="D11" t="s">
        <v>12</v>
      </c>
      <c r="E11" t="s">
        <v>23</v>
      </c>
      <c r="F11" t="str">
        <f>IF(SUM($C$2:C11)&lt;=350,"P1",IF(SUM($C$2:C11)&lt;=780,"P2",IF(SUM($C$2:C11)&lt;=1140,"P3",IF(SUM($C$2:C11)&lt;=1880,"P4","P5"))))</f>
        <v>P3</v>
      </c>
      <c r="G11" t="s">
        <v>14</v>
      </c>
      <c r="H11" t="s">
        <v>14</v>
      </c>
      <c r="I11" t="s">
        <v>14</v>
      </c>
      <c r="J11" t="s">
        <v>38</v>
      </c>
    </row>
    <row r="12" spans="1:10" x14ac:dyDescent="0.2">
      <c r="A12" t="s">
        <v>109</v>
      </c>
      <c r="B12" t="s">
        <v>110</v>
      </c>
      <c r="C12">
        <v>80</v>
      </c>
      <c r="D12" s="1" t="s">
        <v>12</v>
      </c>
      <c r="E12" t="s">
        <v>23</v>
      </c>
      <c r="F12" t="str">
        <f>IF(SUM($C$3:C12)&lt;=350,"P1",IF(SUM($C$3:C12)&lt;=780,"P2",IF(SUM($C$3:C12)&lt;=1140,"P3",IF(SUM($C$3:C12)&lt;=1880,"P4","P5"))))</f>
        <v>P3</v>
      </c>
      <c r="G12" t="s">
        <v>111</v>
      </c>
      <c r="H12" t="s">
        <v>112</v>
      </c>
      <c r="I12" t="s">
        <v>14</v>
      </c>
      <c r="J12" t="s">
        <v>113</v>
      </c>
    </row>
    <row r="13" spans="1:10" x14ac:dyDescent="0.2">
      <c r="A13" t="s">
        <v>114</v>
      </c>
      <c r="B13" t="s">
        <v>115</v>
      </c>
      <c r="C13">
        <v>80</v>
      </c>
      <c r="D13" s="1" t="s">
        <v>12</v>
      </c>
      <c r="E13" t="s">
        <v>23</v>
      </c>
      <c r="F13" t="str">
        <f>IF(SUM($C$3:C13)&lt;=350,"P1",IF(SUM($C$3:C13)&lt;=780,"P2",IF(SUM($C$3:C13)&lt;=1140,"P3",IF(SUM($C$3:C13)&lt;=1880,"P4","P5"))))</f>
        <v>P4</v>
      </c>
      <c r="G13" t="s">
        <v>111</v>
      </c>
      <c r="H13" t="s">
        <v>112</v>
      </c>
      <c r="I13" t="s">
        <v>14</v>
      </c>
    </row>
    <row r="14" spans="1:10" x14ac:dyDescent="0.2">
      <c r="A14" t="s">
        <v>116</v>
      </c>
      <c r="B14" t="s">
        <v>117</v>
      </c>
      <c r="C14">
        <v>100</v>
      </c>
      <c r="D14" s="1" t="b">
        <v>0</v>
      </c>
      <c r="E14" t="s">
        <v>23</v>
      </c>
      <c r="F14" t="str">
        <f>IF(SUM($C$3:C14)&lt;=350,"P1",IF(SUM($C$3:C14)&lt;=780,"P2",IF(SUM($C$3:C14)&lt;=1140,"P3",IF(SUM($C$3:C14)&lt;=1880,"P4","P5"))))</f>
        <v>P4</v>
      </c>
      <c r="G14" t="s">
        <v>111</v>
      </c>
      <c r="H14" t="s">
        <v>112</v>
      </c>
      <c r="I14" t="s">
        <v>14</v>
      </c>
    </row>
  </sheetData>
  <pageMargins left="0.7" right="0.7" top="0.75" bottom="0.75" header="0.3" footer="0.3"/>
  <ignoredErrors>
    <ignoredError sqref="A1:J4 A8:B8 B5:J5 A6:B6 D11:J11 D10:J10 D6:J6 D8:J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sheetData>
    <row r="1" spans="1:2" x14ac:dyDescent="0.2">
      <c r="A1" t="s">
        <v>39</v>
      </c>
      <c r="B1" t="s">
        <v>40</v>
      </c>
    </row>
    <row r="2" spans="1:2" x14ac:dyDescent="0.2">
      <c r="A2" t="s">
        <v>41</v>
      </c>
      <c r="B2" t="s">
        <v>42</v>
      </c>
    </row>
    <row r="3" spans="1:2" x14ac:dyDescent="0.2">
      <c r="A3" t="s">
        <v>43</v>
      </c>
      <c r="B3" t="s">
        <v>44</v>
      </c>
    </row>
    <row r="4" spans="1:2" x14ac:dyDescent="0.2">
      <c r="A4" t="s">
        <v>45</v>
      </c>
      <c r="B4" t="s">
        <v>46</v>
      </c>
    </row>
    <row r="5" spans="1:2" x14ac:dyDescent="0.2">
      <c r="A5" t="s">
        <v>47</v>
      </c>
      <c r="B5" t="s">
        <v>10</v>
      </c>
    </row>
    <row r="6" spans="1:2" x14ac:dyDescent="0.2">
      <c r="A6" t="s">
        <v>48</v>
      </c>
      <c r="B6" t="s">
        <v>49</v>
      </c>
    </row>
    <row r="7" spans="1:2" x14ac:dyDescent="0.2">
      <c r="A7" t="s">
        <v>50</v>
      </c>
      <c r="B7" t="s">
        <v>12</v>
      </c>
    </row>
    <row r="8" spans="1:2" x14ac:dyDescent="0.2">
      <c r="A8" t="s">
        <v>51</v>
      </c>
      <c r="B8">
        <v>25</v>
      </c>
    </row>
    <row r="9" spans="1:2" x14ac:dyDescent="0.2">
      <c r="A9" t="s">
        <v>52</v>
      </c>
      <c r="B9" t="s">
        <v>12</v>
      </c>
    </row>
    <row r="10" spans="1:2" x14ac:dyDescent="0.2">
      <c r="A10" t="s">
        <v>53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sheetData>
    <row r="1" spans="1:3" x14ac:dyDescent="0.2">
      <c r="A1" t="s">
        <v>54</v>
      </c>
      <c r="B1" t="s">
        <v>1</v>
      </c>
      <c r="C1" t="s">
        <v>55</v>
      </c>
    </row>
    <row r="2" spans="1:3" x14ac:dyDescent="0.2">
      <c r="A2" t="s">
        <v>14</v>
      </c>
      <c r="B2" t="s">
        <v>56</v>
      </c>
      <c r="C2" t="s">
        <v>57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">
      <c r="A2" t="s">
        <v>63</v>
      </c>
      <c r="B2" t="s">
        <v>64</v>
      </c>
      <c r="C2" t="s">
        <v>65</v>
      </c>
      <c r="D2" t="s">
        <v>66</v>
      </c>
      <c r="E2" t="s">
        <v>67</v>
      </c>
    </row>
    <row r="3" spans="1:5" x14ac:dyDescent="0.2">
      <c r="A3" t="s">
        <v>68</v>
      </c>
      <c r="B3" t="s">
        <v>69</v>
      </c>
      <c r="C3" t="s">
        <v>70</v>
      </c>
      <c r="D3" t="s">
        <v>71</v>
      </c>
      <c r="E3" t="s">
        <v>72</v>
      </c>
    </row>
    <row r="4" spans="1:5" x14ac:dyDescent="0.2">
      <c r="A4" t="s">
        <v>73</v>
      </c>
      <c r="B4" t="s">
        <v>74</v>
      </c>
      <c r="C4" t="s">
        <v>75</v>
      </c>
      <c r="D4" t="s">
        <v>76</v>
      </c>
      <c r="E4" t="s">
        <v>77</v>
      </c>
    </row>
    <row r="5" spans="1:5" x14ac:dyDescent="0.2">
      <c r="A5" t="s">
        <v>78</v>
      </c>
      <c r="B5" t="s">
        <v>79</v>
      </c>
      <c r="C5" t="s">
        <v>80</v>
      </c>
      <c r="D5" t="s">
        <v>81</v>
      </c>
      <c r="E5" t="s">
        <v>82</v>
      </c>
    </row>
    <row r="6" spans="1:5" x14ac:dyDescent="0.2">
      <c r="A6" t="s">
        <v>83</v>
      </c>
      <c r="B6" t="s">
        <v>84</v>
      </c>
      <c r="C6" t="s">
        <v>85</v>
      </c>
      <c r="D6" t="s">
        <v>86</v>
      </c>
      <c r="E6" t="s">
        <v>82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87</v>
      </c>
    </row>
    <row r="2" spans="1:1" x14ac:dyDescent="0.2">
      <c r="A2" t="s">
        <v>13</v>
      </c>
    </row>
    <row r="3" spans="1:1" x14ac:dyDescent="0.2">
      <c r="A3" t="s">
        <v>88</v>
      </c>
    </row>
    <row r="4" spans="1:1" x14ac:dyDescent="0.2">
      <c r="A4" t="s">
        <v>89</v>
      </c>
    </row>
    <row r="5" spans="1:1" x14ac:dyDescent="0.2">
      <c r="A5" t="s">
        <v>90</v>
      </c>
    </row>
    <row r="6" spans="1:1" x14ac:dyDescent="0.2">
      <c r="A6" t="s">
        <v>91</v>
      </c>
    </row>
    <row r="7" spans="1:1" x14ac:dyDescent="0.2">
      <c r="A7" t="s">
        <v>92</v>
      </c>
    </row>
    <row r="8" spans="1:1" x14ac:dyDescent="0.2">
      <c r="A8" t="s">
        <v>93</v>
      </c>
    </row>
    <row r="9" spans="1:1" x14ac:dyDescent="0.2">
      <c r="A9" t="s">
        <v>13</v>
      </c>
    </row>
    <row r="10" spans="1:1" x14ac:dyDescent="0.2">
      <c r="A10" t="s">
        <v>94</v>
      </c>
    </row>
    <row r="11" spans="1:1" x14ac:dyDescent="0.2">
      <c r="A11" t="s">
        <v>95</v>
      </c>
    </row>
    <row r="12" spans="1:1" x14ac:dyDescent="0.2">
      <c r="A12" t="s">
        <v>96</v>
      </c>
    </row>
    <row r="13" spans="1:1" x14ac:dyDescent="0.2">
      <c r="A13" t="s">
        <v>13</v>
      </c>
    </row>
    <row r="14" spans="1:1" x14ac:dyDescent="0.2">
      <c r="A14" t="s">
        <v>97</v>
      </c>
    </row>
    <row r="15" spans="1:1" x14ac:dyDescent="0.2">
      <c r="A15" t="s">
        <v>98</v>
      </c>
    </row>
    <row r="16" spans="1:1" x14ac:dyDescent="0.2">
      <c r="A16" t="s">
        <v>99</v>
      </c>
    </row>
    <row r="17" spans="1:1" x14ac:dyDescent="0.2">
      <c r="A17" t="s">
        <v>100</v>
      </c>
    </row>
    <row r="18" spans="1:1" x14ac:dyDescent="0.2">
      <c r="A18" t="s">
        <v>13</v>
      </c>
    </row>
    <row r="19" spans="1:1" x14ac:dyDescent="0.2">
      <c r="A19" t="s">
        <v>101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2026-02-16T18:15:07Z</dcterms:created>
  <dcterms:modified xsi:type="dcterms:W3CDTF">2026-02-16T18:15:07Z</dcterms:modified>
</cp:coreProperties>
</file>