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ward/Dev/Nuxt/EE_manager/configs/table-configs/"/>
    </mc:Choice>
  </mc:AlternateContent>
  <xr:revisionPtr revIDLastSave="0" documentId="13_ncr:1_{5D5F0079-A324-F14D-86DA-5167C2D8E8CC}" xr6:coauthVersionLast="47" xr6:coauthVersionMax="47" xr10:uidLastSave="{00000000-0000-0000-0000-000000000000}"/>
  <bookViews>
    <workbookView xWindow="27980" yWindow="18380" windowWidth="42080" windowHeight="22040" xr2:uid="{00000000-000D-0000-FFFF-FFFF00000000}"/>
  </bookViews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<sst xmlns="http://schemas.openxmlformats.org/spreadsheetml/2006/main" count="148" uniqueCount="102">
  <si>
    <t>key</t>
  </si>
  <si>
    <t>label</t>
  </si>
  <si>
    <t>width</t>
  </si>
  <si>
    <t>sortable</t>
  </si>
  <si>
    <t>align</t>
  </si>
  <si>
    <t>priority</t>
  </si>
  <si>
    <t>roles</t>
  </si>
  <si>
    <t>departments</t>
  </si>
  <si>
    <t>filter_groups</t>
  </si>
  <si>
    <t>notes</t>
  </si>
  <si>
    <t>name</t>
  </si>
  <si>
    <t>Entity Name</t>
  </si>
  <si>
    <t>TRUE</t>
  </si>
  <si>
    <t/>
  </si>
  <si>
    <t>P1</t>
  </si>
  <si>
    <t>all</t>
  </si>
  <si>
    <t>Legal or trade name of the ownership entity</t>
  </si>
  <si>
    <t>entity_type</t>
  </si>
  <si>
    <t>Type</t>
  </si>
  <si>
    <t>center</t>
  </si>
  <si>
    <t>LLC, Corporation, Individual, Partnership, REIT</t>
  </si>
  <si>
    <t>actions</t>
  </si>
  <si>
    <t>FALSE</t>
  </si>
  <si>
    <t>P2</t>
  </si>
  <si>
    <t>Edit action button</t>
  </si>
  <si>
    <t>legal_title</t>
  </si>
  <si>
    <t>Legal Title</t>
  </si>
  <si>
    <t>Full legal name if different from entity name</t>
  </si>
  <si>
    <t>tax_id</t>
  </si>
  <si>
    <t>Tax ID</t>
  </si>
  <si>
    <t>EIN or SSN (XX-XXXXXXX format)</t>
  </si>
  <si>
    <t>address</t>
  </si>
  <si>
    <t>Address</t>
  </si>
  <si>
    <t>P3</t>
  </si>
  <si>
    <t>Combined address (line1, line2, city, state, zip)</t>
  </si>
  <si>
    <t>distribution_gl</t>
  </si>
  <si>
    <t>Distribution GL</t>
  </si>
  <si>
    <t>Asset</t>
  </si>
  <si>
    <t>Yardi GL code for distributions (e.g. 300-0000)</t>
  </si>
  <si>
    <t>contribution_gl</t>
  </si>
  <si>
    <t>Contribution GL</t>
  </si>
  <si>
    <t>P4</t>
  </si>
  <si>
    <t>Yardi GL code for contributions (e.g. 310-0000)</t>
  </si>
  <si>
    <t>Parameter</t>
  </si>
  <si>
    <t>Value</t>
  </si>
  <si>
    <t>table_name</t>
  </si>
  <si>
    <t>ownership_entities</t>
  </si>
  <si>
    <t>file_path</t>
  </si>
  <si>
    <t>layers/owners/pages/owners/entities.vue</t>
  </si>
  <si>
    <t>has_filter_groups</t>
  </si>
  <si>
    <t>default_sort_field</t>
  </si>
  <si>
    <t>default_sort_direction</t>
  </si>
  <si>
    <t>asc</t>
  </si>
  <si>
    <t>enable_pagination</t>
  </si>
  <si>
    <t>page_size</t>
  </si>
  <si>
    <t>enable_export</t>
  </si>
  <si>
    <t>clickable_rows</t>
  </si>
  <si>
    <t>group_name</t>
  </si>
  <si>
    <t>description</t>
  </si>
  <si>
    <t>All Items</t>
  </si>
  <si>
    <t>Show all records</t>
  </si>
  <si>
    <t>Priority</t>
  </si>
  <si>
    <t>Max Cumulative Width</t>
  </si>
  <si>
    <t>Breakpoint</t>
  </si>
  <si>
    <t>Devices</t>
  </si>
  <si>
    <t>Target Columns</t>
  </si>
  <si>
    <t>350px</t>
  </si>
  <si>
    <t>base (no class)</t>
  </si>
  <si>
    <t>Phone (portrait)</t>
  </si>
  <si>
    <t>2-3 columns</t>
  </si>
  <si>
    <t>780px</t>
  </si>
  <si>
    <t>md: (768px+)</t>
  </si>
  <si>
    <t>Tablet (portrait), Phone (landscape)</t>
  </si>
  <si>
    <t>+3-4 columns</t>
  </si>
  <si>
    <t>1140px</t>
  </si>
  <si>
    <t>lg: (1024px+)</t>
  </si>
  <si>
    <t>Tablet (landscape), Desktop</t>
  </si>
  <si>
    <t>+2-3 columns</t>
  </si>
  <si>
    <t>1880px</t>
  </si>
  <si>
    <t>xl: (1280px+)</t>
  </si>
  <si>
    <t>QHD, 4K (scaled) ⭐</t>
  </si>
  <si>
    <t>+4-5 columns</t>
  </si>
  <si>
    <t>P5</t>
  </si>
  <si>
    <t>2520px</t>
  </si>
  <si>
    <t>2xl: (1536px+)</t>
  </si>
  <si>
    <t>4K (native), Ultra-wide</t>
  </si>
  <si>
    <t>ownership_entities Table - Configuration</t>
  </si>
  <si>
    <t>QUICK START:</t>
  </si>
  <si>
    <t>1. Review the "Column Definitions" sheet - columns are from existing Vue component</t>
  </si>
  <si>
    <t>2. Adjust column widths, order, or priorities as needed</t>
  </si>
  <si>
    <t>3. Modify roles/departments restrictions if needed</t>
  </si>
  <si>
    <t>4. Run: npx tsx utils/table-config-parser.ts configs/table-configs/ownership_entities.xlsx</t>
  </si>
  <si>
    <t>5. Copy generated code to: layers/owners/pages/owners/entities.vue</t>
  </si>
  <si>
    <t>PRIORITY AUTO-CALCULATION:</t>
  </si>
  <si>
    <t>Priorities are pre-calculated based on current column widths.</t>
  </si>
  <si>
    <t>To change priorities: adjust column widths or reorder columns.</t>
  </si>
  <si>
    <t>CURRENT CONFIGURATION:</t>
  </si>
  <si>
    <t>Total Columns: 8</t>
  </si>
  <si>
    <t>Default Sort: name</t>
  </si>
  <si>
    <t>Filter Groups: 0</t>
  </si>
  <si>
    <t>For detailed documentation, see: /docs/tools/EXCEL_TABLE_CONFIG_TEMPLATE.md</t>
  </si>
  <si>
    <t>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</si>
</sst>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="180" zoomScaleNormal="180" workbookViewId="0">
      <selection activeCell="F15" sqref="F15"/>
    </sheetView>
  </sheetViews>
  <sheetFormatPr baseColWidth="10" defaultRowHeight="16" x14ac:dyDescent="0.2"/>
  <cols>
    <col min="1" max="1" width="25.83203125" customWidth="1"/>
    <col min="2" max="2" width="20.83203125" customWidth="1"/>
    <col min="3" max="5" width="10.83203125" customWidth="1"/>
    <col min="6" max="6" width="12.83203125" customWidth="1"/>
    <col min="7" max="9" width="14.5" customWidth="1"/>
    <col min="10" max="10" width="35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150</v>
      </c>
      <c r="D2" t="s">
        <v>12</v>
      </c>
      <c r="E2" t="s">
        <v>13</v>
      </c>
      <c r="F2" t="str">
        <f>IF(SUM($C$2:C2)&lt;=350,"P1",IF(SUM($C$2:C2)&lt;=780,"P2",IF(SUM($C$2:C2)&lt;=1140,"P3",IF(SUM($C$2:C2)&lt;=1880,"P4","P5"))))</f>
        <v>P1</v>
      </c>
      <c r="G2" t="s">
        <v>37</v>
      </c>
      <c r="H2" t="s">
        <v>101</v>
      </c>
      <c r="I2" t="s">
        <v>15</v>
      </c>
      <c r="J2" t="s">
        <v>16</v>
      </c>
    </row>
    <row r="3" spans="1:10" x14ac:dyDescent="0.2">
      <c r="A3" t="s">
        <v>17</v>
      </c>
      <c r="B3" t="s">
        <v>18</v>
      </c>
      <c r="C3">
        <v>100</v>
      </c>
      <c r="D3" t="s">
        <v>12</v>
      </c>
      <c r="E3" t="s">
        <v>19</v>
      </c>
      <c r="F3" t="str">
        <f>IF(SUM($C$2:C3)&lt;=350,"P1",IF(SUM($C$2:C3)&lt;=780,"P2",IF(SUM($C$2:C3)&lt;=1140,"P3",IF(SUM($C$2:C3)&lt;=1880,"P4","P5"))))</f>
        <v>P1</v>
      </c>
      <c r="G3" t="s">
        <v>37</v>
      </c>
      <c r="H3" t="s">
        <v>101</v>
      </c>
      <c r="I3" t="s">
        <v>15</v>
      </c>
      <c r="J3" t="s">
        <v>20</v>
      </c>
    </row>
    <row r="4" spans="1:10" x14ac:dyDescent="0.2">
      <c r="A4" t="s">
        <v>25</v>
      </c>
      <c r="B4" t="s">
        <v>26</v>
      </c>
      <c r="C4">
        <v>200</v>
      </c>
      <c r="D4" t="s">
        <v>12</v>
      </c>
      <c r="E4" t="s">
        <v>13</v>
      </c>
      <c r="F4" t="str">
        <f>IF(SUM($C$2:C4)&lt;=350,"P1",IF(SUM($C$2:C4)&lt;=780,"P2",IF(SUM($C$2:C4)&lt;=1140,"P3",IF(SUM($C$2:C4)&lt;=1880,"P4","P5"))))</f>
        <v>P2</v>
      </c>
      <c r="G4" t="s">
        <v>37</v>
      </c>
      <c r="H4" t="s">
        <v>101</v>
      </c>
      <c r="I4" t="s">
        <v>15</v>
      </c>
      <c r="J4" t="s">
        <v>27</v>
      </c>
    </row>
    <row r="5" spans="1:10" x14ac:dyDescent="0.2">
      <c r="A5" t="s">
        <v>35</v>
      </c>
      <c r="B5" t="s">
        <v>36</v>
      </c>
      <c r="C5">
        <v>120</v>
      </c>
      <c r="D5" t="s">
        <v>12</v>
      </c>
      <c r="E5" t="s">
        <v>19</v>
      </c>
      <c r="F5" t="str">
        <f>IF(SUM($C$2:C5)&lt;=350,"P1",IF(SUM($C$2:C5)&lt;=780,"P2",IF(SUM($C$2:C5)&lt;=1140,"P3",IF(SUM($C$2:C5)&lt;=1880,"P4","P5"))))</f>
        <v>P2</v>
      </c>
      <c r="G5" t="s">
        <v>37</v>
      </c>
      <c r="H5" t="s">
        <v>101</v>
      </c>
      <c r="I5" t="s">
        <v>15</v>
      </c>
      <c r="J5" t="s">
        <v>38</v>
      </c>
    </row>
    <row r="6" spans="1:10" x14ac:dyDescent="0.2">
      <c r="A6" t="s">
        <v>39</v>
      </c>
      <c r="B6" t="s">
        <v>40</v>
      </c>
      <c r="C6">
        <v>120</v>
      </c>
      <c r="D6" t="s">
        <v>12</v>
      </c>
      <c r="E6" t="s">
        <v>19</v>
      </c>
      <c r="F6" t="str">
        <f>IF(SUM($C$2:C6)&lt;=350,"P1",IF(SUM($C$2:C6)&lt;=780,"P2",IF(SUM($C$2:C6)&lt;=1140,"P3",IF(SUM($C$2:C6)&lt;=1880,"P4","P5"))))</f>
        <v>P2</v>
      </c>
      <c r="G6" t="s">
        <v>37</v>
      </c>
      <c r="H6" t="s">
        <v>101</v>
      </c>
      <c r="I6" t="s">
        <v>15</v>
      </c>
      <c r="J6" t="s">
        <v>42</v>
      </c>
    </row>
    <row r="7" spans="1:10" x14ac:dyDescent="0.2">
      <c r="A7" t="s">
        <v>28</v>
      </c>
      <c r="B7" t="s">
        <v>29</v>
      </c>
      <c r="C7">
        <v>120</v>
      </c>
      <c r="D7" t="s">
        <v>12</v>
      </c>
      <c r="E7" t="s">
        <v>13</v>
      </c>
      <c r="F7" t="str">
        <f>IF(SUM($C$2:C7)&lt;=350,"P1",IF(SUM($C$2:C7)&lt;=780,"P2",IF(SUM($C$2:C7)&lt;=1140,"P3",IF(SUM($C$2:C7)&lt;=1880,"P4","P5"))))</f>
        <v>P3</v>
      </c>
      <c r="G7" t="s">
        <v>37</v>
      </c>
      <c r="H7" t="s">
        <v>101</v>
      </c>
      <c r="I7" t="s">
        <v>15</v>
      </c>
      <c r="J7" t="s">
        <v>30</v>
      </c>
    </row>
    <row r="8" spans="1:10" x14ac:dyDescent="0.2">
      <c r="A8" t="s">
        <v>31</v>
      </c>
      <c r="B8" t="s">
        <v>32</v>
      </c>
      <c r="C8">
        <v>400</v>
      </c>
      <c r="D8" t="s">
        <v>22</v>
      </c>
      <c r="E8" t="s">
        <v>13</v>
      </c>
      <c r="F8" t="str">
        <f>IF(SUM($C$2:C8)&lt;=350,"P1",IF(SUM($C$2:C8)&lt;=780,"P2",IF(SUM($C$2:C8)&lt;=1140,"P3",IF(SUM($C$2:C8)&lt;=1880,"P4","P5"))))</f>
        <v>P4</v>
      </c>
      <c r="G8" t="s">
        <v>37</v>
      </c>
      <c r="H8" t="s">
        <v>101</v>
      </c>
      <c r="I8" t="s">
        <v>15</v>
      </c>
      <c r="J8" t="s">
        <v>34</v>
      </c>
    </row>
    <row r="9" spans="1:10" x14ac:dyDescent="0.2">
      <c r="A9" t="s">
        <v>21</v>
      </c>
      <c r="B9" t="s">
        <v>13</v>
      </c>
      <c r="C9">
        <v>60</v>
      </c>
      <c r="D9" t="s">
        <v>22</v>
      </c>
      <c r="E9" t="s">
        <v>19</v>
      </c>
      <c r="F9" t="str">
        <f>IF(SUM($C$2:C9)&lt;=350,"P1",IF(SUM($C$2:C9)&lt;=780,"P2",IF(SUM($C$2:C9)&lt;=1140,"P3",IF(SUM($C$2:C9)&lt;=1880,"P4","P5"))))</f>
        <v>P4</v>
      </c>
      <c r="G9" t="s">
        <v>37</v>
      </c>
      <c r="H9" t="s">
        <v>101</v>
      </c>
      <c r="I9" t="s">
        <v>15</v>
      </c>
      <c r="J9" t="s">
        <v>24</v>
      </c>
    </row>
  </sheetData>
  <pageMargins left="0.7" right="0.7" top="0.75" bottom="0.75" header="0.3" footer="0.3"/>
  <ignoredErrors>
    <ignoredError sqref="A1:J1 A5:C6 A4:E4 A3:B3 D3:E3 A2:B2 I2:J2 G6 I4:J4 I3:J3 I5:J5 I6:J6 E5:E6 D2:E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RowHeight="16" x14ac:dyDescent="0.2"/>
  <cols>
    <col min="1" max="1" width="25.83203125" customWidth="1"/>
    <col min="2" max="2" width="50.83203125" customWidth="1"/>
  </cols>
  <sheetData>
    <row r="1" spans="1:2" x14ac:dyDescent="0.2">
      <c r="A1" t="s">
        <v>43</v>
      </c>
      <c r="B1" t="s">
        <v>44</v>
      </c>
    </row>
    <row r="2" spans="1:2" x14ac:dyDescent="0.2">
      <c r="A2" t="s">
        <v>45</v>
      </c>
      <c r="B2" t="s">
        <v>46</v>
      </c>
    </row>
    <row r="3" spans="1:2" x14ac:dyDescent="0.2">
      <c r="A3" t="s">
        <v>47</v>
      </c>
      <c r="B3" t="s">
        <v>48</v>
      </c>
    </row>
    <row r="4" spans="1:2" x14ac:dyDescent="0.2">
      <c r="A4" t="s">
        <v>49</v>
      </c>
      <c r="B4" t="s">
        <v>22</v>
      </c>
    </row>
    <row r="5" spans="1:2" x14ac:dyDescent="0.2">
      <c r="A5" t="s">
        <v>50</v>
      </c>
      <c r="B5" t="s">
        <v>10</v>
      </c>
    </row>
    <row r="6" spans="1:2" x14ac:dyDescent="0.2">
      <c r="A6" t="s">
        <v>51</v>
      </c>
      <c r="B6" t="s">
        <v>52</v>
      </c>
    </row>
    <row r="7" spans="1:2" x14ac:dyDescent="0.2">
      <c r="A7" t="s">
        <v>53</v>
      </c>
      <c r="B7" t="s">
        <v>12</v>
      </c>
    </row>
    <row r="8" spans="1:2" x14ac:dyDescent="0.2">
      <c r="A8" t="s">
        <v>54</v>
      </c>
      <c r="B8">
        <v>25</v>
      </c>
    </row>
    <row r="9" spans="1:2" x14ac:dyDescent="0.2">
      <c r="A9" t="s">
        <v>55</v>
      </c>
      <c r="B9" t="s">
        <v>12</v>
      </c>
    </row>
    <row r="10" spans="1:2" x14ac:dyDescent="0.2">
      <c r="A10" t="s">
        <v>56</v>
      </c>
      <c r="B10" t="s">
        <v>12</v>
      </c>
    </row>
  </sheetData>
  <pageMargins left="0.7" right="0.7" top="0.75" bottom="0.75" header="0.3" footer="0.3"/>
  <ignoredErrors>
    <ignoredError sqref="A1:B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RowHeight="16" x14ac:dyDescent="0.2"/>
  <cols>
    <col min="1" max="1" width="20.83203125" customWidth="1"/>
    <col min="2" max="2" width="25.83203125" customWidth="1"/>
    <col min="3" max="3" width="45.83203125" customWidth="1"/>
  </cols>
  <sheetData>
    <row r="1" spans="1:3" x14ac:dyDescent="0.2">
      <c r="A1" t="s">
        <v>57</v>
      </c>
      <c r="B1" t="s">
        <v>1</v>
      </c>
      <c r="C1" t="s">
        <v>58</v>
      </c>
    </row>
    <row r="2" spans="1:3" x14ac:dyDescent="0.2">
      <c r="A2" t="s">
        <v>15</v>
      </c>
      <c r="B2" t="s">
        <v>59</v>
      </c>
      <c r="C2" t="s">
        <v>60</v>
      </c>
    </row>
  </sheetData>
  <pageMargins left="0.7" right="0.7" top="0.75" bottom="0.75" header="0.3" footer="0.3"/>
  <ignoredErrors>
    <ignoredError sqref="A1:C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RowHeight="16" x14ac:dyDescent="0.2"/>
  <cols>
    <col min="1" max="1" width="15.83203125" customWidth="1"/>
    <col min="2" max="2" width="25.83203125" customWidth="1"/>
    <col min="3" max="3" width="30.83203125" customWidth="1"/>
    <col min="4" max="4" width="35.83203125" customWidth="1"/>
    <col min="5" max="5" width="20.83203125" customWidth="1"/>
  </cols>
  <sheetData>
    <row r="1" spans="1:5" x14ac:dyDescent="0.2">
      <c r="A1" t="s">
        <v>61</v>
      </c>
      <c r="B1" t="s">
        <v>62</v>
      </c>
      <c r="C1" t="s">
        <v>63</v>
      </c>
      <c r="D1" t="s">
        <v>64</v>
      </c>
      <c r="E1" t="s">
        <v>65</v>
      </c>
    </row>
    <row r="2" spans="1:5" x14ac:dyDescent="0.2">
      <c r="A2" t="s">
        <v>14</v>
      </c>
      <c r="B2" t="s">
        <v>66</v>
      </c>
      <c r="C2" t="s">
        <v>67</v>
      </c>
      <c r="D2" t="s">
        <v>68</v>
      </c>
      <c r="E2" t="s">
        <v>69</v>
      </c>
    </row>
    <row r="3" spans="1:5" x14ac:dyDescent="0.2">
      <c r="A3" t="s">
        <v>23</v>
      </c>
      <c r="B3" t="s">
        <v>70</v>
      </c>
      <c r="C3" t="s">
        <v>71</v>
      </c>
      <c r="D3" t="s">
        <v>72</v>
      </c>
      <c r="E3" t="s">
        <v>73</v>
      </c>
    </row>
    <row r="4" spans="1:5" x14ac:dyDescent="0.2">
      <c r="A4" t="s">
        <v>33</v>
      </c>
      <c r="B4" t="s">
        <v>74</v>
      </c>
      <c r="C4" t="s">
        <v>75</v>
      </c>
      <c r="D4" t="s">
        <v>76</v>
      </c>
      <c r="E4" t="s">
        <v>77</v>
      </c>
    </row>
    <row r="5" spans="1:5" x14ac:dyDescent="0.2">
      <c r="A5" t="s">
        <v>41</v>
      </c>
      <c r="B5" t="s">
        <v>78</v>
      </c>
      <c r="C5" t="s">
        <v>79</v>
      </c>
      <c r="D5" t="s">
        <v>80</v>
      </c>
      <c r="E5" t="s">
        <v>81</v>
      </c>
    </row>
    <row r="6" spans="1:5" x14ac:dyDescent="0.2">
      <c r="A6" t="s">
        <v>82</v>
      </c>
      <c r="B6" t="s">
        <v>83</v>
      </c>
      <c r="C6" t="s">
        <v>84</v>
      </c>
      <c r="D6" t="s">
        <v>85</v>
      </c>
      <c r="E6" t="s">
        <v>81</v>
      </c>
    </row>
  </sheetData>
  <pageMargins left="0.7" right="0.7" top="0.75" bottom="0.75" header="0.3" footer="0.3"/>
  <ignoredErrors>
    <ignoredError sqref="A1:E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9"/>
  <sheetViews>
    <sheetView workbookViewId="0"/>
  </sheetViews>
  <sheetFormatPr baseColWidth="10" defaultRowHeight="16" x14ac:dyDescent="0.2"/>
  <cols>
    <col min="1" max="1" width="100.83203125" customWidth="1"/>
  </cols>
  <sheetData>
    <row r="1" spans="1:1" x14ac:dyDescent="0.2">
      <c r="A1" t="s">
        <v>86</v>
      </c>
    </row>
    <row r="2" spans="1:1" x14ac:dyDescent="0.2">
      <c r="A2" t="s">
        <v>13</v>
      </c>
    </row>
    <row r="3" spans="1:1" x14ac:dyDescent="0.2">
      <c r="A3" t="s">
        <v>87</v>
      </c>
    </row>
    <row r="4" spans="1:1" x14ac:dyDescent="0.2">
      <c r="A4" t="s">
        <v>88</v>
      </c>
    </row>
    <row r="5" spans="1:1" x14ac:dyDescent="0.2">
      <c r="A5" t="s">
        <v>89</v>
      </c>
    </row>
    <row r="6" spans="1:1" x14ac:dyDescent="0.2">
      <c r="A6" t="s">
        <v>90</v>
      </c>
    </row>
    <row r="7" spans="1:1" x14ac:dyDescent="0.2">
      <c r="A7" t="s">
        <v>91</v>
      </c>
    </row>
    <row r="8" spans="1:1" x14ac:dyDescent="0.2">
      <c r="A8" t="s">
        <v>92</v>
      </c>
    </row>
    <row r="9" spans="1:1" x14ac:dyDescent="0.2">
      <c r="A9" t="s">
        <v>13</v>
      </c>
    </row>
    <row r="10" spans="1:1" x14ac:dyDescent="0.2">
      <c r="A10" t="s">
        <v>93</v>
      </c>
    </row>
    <row r="11" spans="1:1" x14ac:dyDescent="0.2">
      <c r="A11" t="s">
        <v>94</v>
      </c>
    </row>
    <row r="12" spans="1:1" x14ac:dyDescent="0.2">
      <c r="A12" t="s">
        <v>95</v>
      </c>
    </row>
    <row r="13" spans="1:1" x14ac:dyDescent="0.2">
      <c r="A13" t="s">
        <v>13</v>
      </c>
    </row>
    <row r="14" spans="1:1" x14ac:dyDescent="0.2">
      <c r="A14" t="s">
        <v>96</v>
      </c>
    </row>
    <row r="15" spans="1:1" x14ac:dyDescent="0.2">
      <c r="A15" t="s">
        <v>97</v>
      </c>
    </row>
    <row r="16" spans="1:1" x14ac:dyDescent="0.2">
      <c r="A16" t="s">
        <v>98</v>
      </c>
    </row>
    <row r="17" spans="1:1" x14ac:dyDescent="0.2">
      <c r="A17" t="s">
        <v>99</v>
      </c>
    </row>
    <row r="18" spans="1:1" x14ac:dyDescent="0.2">
      <c r="A18" t="s">
        <v>13</v>
      </c>
    </row>
    <row r="19" spans="1:1" x14ac:dyDescent="0.2">
      <c r="A19" t="s">
        <v>100</v>
      </c>
    </row>
  </sheetData>
  <pageMargins left="0.7" right="0.7" top="0.75" bottom="0.75" header="0.3" footer="0.3"/>
  <ignoredErrors>
    <ignoredError sqref="A1:A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Kim</cp:lastModifiedBy>
  <dcterms:created xsi:type="dcterms:W3CDTF">2026-02-25T07:05:59Z</dcterms:created>
  <dcterms:modified xsi:type="dcterms:W3CDTF">2026-02-25T07:19:30Z</dcterms:modified>
</cp:coreProperties>
</file>