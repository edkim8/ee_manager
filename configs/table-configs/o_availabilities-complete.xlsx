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 rightToLeft="0"/>
  </sheetView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unit_name</v>
      </c>
      <c r="B2" t="str">
        <v>Unit</v>
      </c>
      <c r="C2">
        <v>90</v>
      </c>
      <c r="D2" t="str">
        <v>TRUE</v>
      </c>
      <c r="E2" t="str">
        <v>center</v>
      </c>
      <c r="F2" t="str">
        <f>IF(SUM($C$2:C2)&lt;=350,"P1",IF(SUM($C$2:C2)&lt;=780,"P2",IF(SUM($C$2:C2)&lt;=1140,"P3",IF(SUM($C$2:C2)&lt;=1880,"P4","P5"))))</f>
        <v>P1</v>
      </c>
      <c r="G2" t="str">
        <v>all</v>
      </c>
      <c r="H2" t="str">
        <v>all</v>
      </c>
      <c r="I2" t="str">
        <v>all</v>
      </c>
      <c r="J2" t="str">
        <v>Unit identifier with color-coded vacancy status</v>
      </c>
    </row>
    <row r="3">
      <c r="A3" t="str">
        <v>sync_alerts</v>
      </c>
      <c r="B3" t="str">
        <v>Sync</v>
      </c>
      <c r="C3">
        <v>80</v>
      </c>
      <c r="D3" t="str">
        <v>TRUE</v>
      </c>
      <c r="E3" t="str">
        <v>center</v>
      </c>
      <c r="F3" t="str">
        <f>IF(SUM($C$2:C3)&lt;=350,"P1",IF(SUM($C$2:C3)&lt;=780,"P2",IF(SUM($C$2:C3)&lt;=1140,"P3",IF(SUM($C$2:C3)&lt;=1880,"P4","P5"))))</f>
        <v>P1</v>
      </c>
      <c r="G3" t="str">
        <v>all</v>
      </c>
      <c r="H3" t="str">
        <v>all</v>
      </c>
      <c r="I3" t="str">
        <v>all</v>
      </c>
      <c r="J3" t="str">
        <v>Data sync verification alerts</v>
      </c>
    </row>
    <row r="4">
      <c r="A4" t="str">
        <v>building_name</v>
      </c>
      <c r="B4" t="str">
        <v>Building</v>
      </c>
      <c r="C4">
        <v>150</v>
      </c>
      <c r="D4" t="str">
        <v>TRUE</v>
      </c>
      <c r="E4" t="str">
        <v>left</v>
      </c>
      <c r="F4" t="str">
        <f>IF(SUM($C$2:C4)&lt;=350,"P1",IF(SUM($C$2:C4)&lt;=780,"P2",IF(SUM($C$2:C4)&lt;=1140,"P3",IF(SUM($C$2:C4)&lt;=1880,"P4","P5"))))</f>
        <v>P1</v>
      </c>
      <c r="G4" t="str">
        <v>all</v>
      </c>
      <c r="H4" t="str">
        <v>all</v>
      </c>
      <c r="I4" t="str">
        <v>all</v>
      </c>
      <c r="J4" t="str">
        <v>Building name (clickable link)</v>
      </c>
    </row>
    <row r="5">
      <c r="A5" t="str">
        <v>floor_plan_name</v>
      </c>
      <c r="B5" t="str">
        <v>Floor Plan</v>
      </c>
      <c r="C5">
        <v>130</v>
      </c>
      <c r="D5" t="str">
        <v>TRUE</v>
      </c>
      <c r="E5" t="str">
        <v>left</v>
      </c>
      <c r="F5" t="str">
        <f>IF(SUM($C$2:C5)&lt;=350,"P1",IF(SUM($C$2:C5)&lt;=780,"P2",IF(SUM($C$2:C5)&lt;=1140,"P3",IF(SUM($C$2:C5)&lt;=1880,"P4","P5"))))</f>
        <v>P2</v>
      </c>
      <c r="G5" t="str">
        <v>all</v>
      </c>
      <c r="H5" t="str">
        <v>all</v>
      </c>
      <c r="I5" t="str">
        <v>all</v>
      </c>
      <c r="J5" t="str">
        <v>Marketing name of floor plan</v>
      </c>
    </row>
    <row r="6">
      <c r="A6" t="str">
        <v>sf</v>
      </c>
      <c r="B6" t="str">
        <v>SF</v>
      </c>
      <c r="C6">
        <v>80</v>
      </c>
      <c r="D6" t="str">
        <v>TRUE</v>
      </c>
      <c r="E6" t="str">
        <v>right</v>
      </c>
      <c r="F6" t="str">
        <f>IF(SUM($C$2:C6)&lt;=350,"P1",IF(SUM($C$2:C6)&lt;=780,"P2",IF(SUM($C$2:C6)&lt;=1140,"P3",IF(SUM($C$2:C6)&lt;=1880,"P4","P5"))))</f>
        <v>P2</v>
      </c>
      <c r="G6" t="str">
        <v>all</v>
      </c>
      <c r="H6" t="str">
        <v>all</v>
      </c>
      <c r="I6" t="str">
        <v>all</v>
      </c>
      <c r="J6" t="str">
        <v>Square footage</v>
      </c>
    </row>
    <row r="7">
      <c r="A7" t="str">
        <v>b_b</v>
      </c>
      <c r="B7" t="str">
        <v>Beds/Baths</v>
      </c>
      <c r="C7">
        <v>100</v>
      </c>
      <c r="D7" t="str">
        <v>TRUE</v>
      </c>
      <c r="E7" t="str">
        <v>center</v>
      </c>
      <c r="F7" t="str">
        <f>IF(SUM($C$2:C7)&lt;=350,"P1",IF(SUM($C$2:C7)&lt;=780,"P2",IF(SUM($C$2:C7)&lt;=1140,"P3",IF(SUM($C$2:C7)&lt;=1880,"P4","P5"))))</f>
        <v>P2</v>
      </c>
      <c r="G7" t="str">
        <v>all</v>
      </c>
      <c r="H7" t="str">
        <v>all</v>
      </c>
      <c r="I7" t="str">
        <v>all</v>
      </c>
      <c r="J7" t="str">
        <v>Bedroom x Bathroom (e.g., 2x2, 1x1)</v>
      </c>
    </row>
    <row r="8">
      <c r="A8" t="str">
        <v>status</v>
      </c>
      <c r="B8" t="str">
        <v>Status</v>
      </c>
      <c r="C8">
        <v>110</v>
      </c>
      <c r="D8" t="str">
        <v>TRUE</v>
      </c>
      <c r="E8" t="str">
        <v>center</v>
      </c>
      <c r="F8" t="str">
        <f>IF(SUM($C$2:C8)&lt;=350,"P1",IF(SUM($C$2:C8)&lt;=780,"P2",IF(SUM($C$2:C8)&lt;=1140,"P3",IF(SUM($C$2:C8)&lt;=1880,"P4","P5"))))</f>
        <v>P2</v>
      </c>
      <c r="G8" t="str">
        <v>all</v>
      </c>
      <c r="H8" t="str">
        <v>all</v>
      </c>
      <c r="I8" t="str">
        <v>all</v>
      </c>
      <c r="J8" t="str">
        <v>Available, Applied, or Leased</v>
      </c>
    </row>
    <row r="9">
      <c r="A9" t="str">
        <v>rent_offered</v>
      </c>
      <c r="B9" t="str">
        <v>Rent</v>
      </c>
      <c r="C9">
        <v>100</v>
      </c>
      <c r="D9" t="str">
        <v>TRUE</v>
      </c>
      <c r="E9" t="str">
        <v>right</v>
      </c>
      <c r="F9" t="str">
        <f>IF(SUM($C$2:C9)&lt;=350,"P1",IF(SUM($C$2:C9)&lt;=780,"P2",IF(SUM($C$2:C9)&lt;=1140,"P3",IF(SUM($C$2:C9)&lt;=1880,"P4","P5"))))</f>
        <v>P3</v>
      </c>
      <c r="G9" t="str">
        <v>Owner,Manager,RPM</v>
      </c>
      <c r="H9" t="str">
        <v>Management</v>
      </c>
      <c r="I9" t="str">
        <v>available,all</v>
      </c>
      <c r="J9" t="str">
        <v>Offered rent amount (Available + All filters)</v>
      </c>
    </row>
    <row r="10">
      <c r="A10" t="str">
        <v>available_date</v>
      </c>
      <c r="B10" t="str">
        <v>Available</v>
      </c>
      <c r="C10">
        <v>110</v>
      </c>
      <c r="D10" t="str">
        <v>TRUE</v>
      </c>
      <c r="E10" t="str">
        <v>center</v>
      </c>
      <c r="F10" t="str">
        <f>IF(SUM($C$2:C10)&lt;=350,"P1",IF(SUM($C$2:C10)&lt;=780,"P2",IF(SUM($C$2:C10)&lt;=1140,"P3",IF(SUM($C$2:C10)&lt;=1880,"P4","P5"))))</f>
        <v>P3</v>
      </c>
      <c r="G10" t="str">
        <v>all</v>
      </c>
      <c r="H10" t="str">
        <v>all</v>
      </c>
      <c r="I10" t="str">
        <v>available,all</v>
      </c>
      <c r="J10" t="str">
        <v>Date unit becomes available</v>
      </c>
    </row>
    <row r="11">
      <c r="A11" t="str">
        <v>vacant_days</v>
      </c>
      <c r="B11" t="str">
        <v>Vacant</v>
      </c>
      <c r="C11">
        <v>80</v>
      </c>
      <c r="D11" t="str">
        <v>TRUE</v>
      </c>
      <c r="E11" t="str">
        <v>center</v>
      </c>
      <c r="F11" t="str">
        <f>IF(SUM($C$2:C11)&lt;=350,"P1",IF(SUM($C$2:C11)&lt;=780,"P2",IF(SUM($C$2:C11)&lt;=1140,"P3",IF(SUM($C$2:C11)&lt;=1880,"P4","P5"))))</f>
        <v>P3</v>
      </c>
      <c r="G11" t="str">
        <v>all</v>
      </c>
      <c r="H11" t="str">
        <v>all</v>
      </c>
      <c r="I11" t="str">
        <v>available</v>
      </c>
      <c r="J11" t="str">
        <v>Days until available - color-coded</v>
      </c>
    </row>
    <row r="12">
      <c r="A12" t="str">
        <v>move_out_date</v>
      </c>
      <c r="B12" t="str">
        <v>Move Out</v>
      </c>
      <c r="C12">
        <v>110</v>
      </c>
      <c r="D12" t="str">
        <v>TRUE</v>
      </c>
      <c r="E12" t="str">
        <v>center</v>
      </c>
      <c r="F12" t="str">
        <f>IF(SUM($C$2:C12)&lt;=350,"P1",IF(SUM($C$2:C12)&lt;=780,"P2",IF(SUM($C$2:C12)&lt;=1140,"P3",IF(SUM($C$2:C12)&lt;=1880,"P4","P5"))))</f>
        <v>P3</v>
      </c>
      <c r="G12" t="str">
        <v>all</v>
      </c>
      <c r="H12" t="str">
        <v>all</v>
      </c>
      <c r="I12" t="str">
        <v>available</v>
      </c>
      <c r="J12" t="str">
        <v>Previous resident move-out date</v>
      </c>
    </row>
    <row r="13">
      <c r="A13" t="str">
        <v>turnover_days</v>
      </c>
      <c r="B13" t="str">
        <v>Turnover</v>
      </c>
      <c r="C13">
        <v>90</v>
      </c>
      <c r="D13" t="str">
        <v>TRUE</v>
      </c>
      <c r="E13" t="str">
        <v>center</v>
      </c>
      <c r="F13" t="str">
        <f>IF(SUM($C$2:C13)&lt;=350,"P1",IF(SUM($C$2:C13)&lt;=780,"P2",IF(SUM($C$2:C13)&lt;=1140,"P3",IF(SUM($C$2:C13)&lt;=1880,"P4","P5"))))</f>
        <v>P4</v>
      </c>
      <c r="G13" t="str">
        <v>all</v>
      </c>
      <c r="H13" t="str">
        <v>Management</v>
      </c>
      <c r="I13" t="str">
        <v>available</v>
      </c>
      <c r="J13" t="str">
        <v>Days between move-out and available (turnover efficiency)</v>
      </c>
    </row>
    <row r="14">
      <c r="A14" t="str">
        <v>temp_amenities_total</v>
      </c>
      <c r="B14" t="str">
        <v>Temp Amenities</v>
      </c>
      <c r="C14">
        <v>120</v>
      </c>
      <c r="D14" t="str">
        <v>TRUE</v>
      </c>
      <c r="E14" t="str">
        <v>right</v>
      </c>
      <c r="F14" t="str">
        <f>IF(SUM($C$2:C14)&lt;=350,"P1",IF(SUM($C$2:C14)&lt;=780,"P2",IF(SUM($C$2:C14)&lt;=1140,"P3",IF(SUM($C$2:C14)&lt;=1880,"P4","P5"))))</f>
        <v>P4</v>
      </c>
      <c r="G14" t="str">
        <v>Owner,Manager,RPM</v>
      </c>
      <c r="H14" t="str">
        <v>Management</v>
      </c>
      <c r="I14" t="str">
        <v>all</v>
      </c>
      <c r="J14" t="str">
        <v>Sum of temporary amenities (premiums + discounts)</v>
      </c>
    </row>
    <row r="15">
      <c r="A15" t="str">
        <v>resident_name</v>
      </c>
      <c r="B15" t="str">
        <v>Resident</v>
      </c>
      <c r="C15">
        <v>160</v>
      </c>
      <c r="D15" t="str">
        <v>TRUE</v>
      </c>
      <c r="E15" t="str">
        <v>left</v>
      </c>
      <c r="F15" t="str">
        <f>IF(SUM($C$2:C15)&lt;=350,"P1",IF(SUM($C$2:C15)&lt;=780,"P2",IF(SUM($C$2:C15)&lt;=1140,"P3",IF(SUM($C$2:C15)&lt;=1880,"P4","P5"))))</f>
        <v>P4</v>
      </c>
      <c r="G15" t="str">
        <v>Manager,RPM</v>
      </c>
      <c r="H15" t="str">
        <v>Leasing,Management</v>
      </c>
      <c r="I15" t="str">
        <v>all</v>
      </c>
      <c r="J15" t="str">
        <v>Primary resident/applicant name</v>
      </c>
    </row>
    <row r="16">
      <c r="A16" t="str">
        <v>resident_email</v>
      </c>
      <c r="B16" t="str">
        <v>Email</v>
      </c>
      <c r="C16">
        <v>200</v>
      </c>
      <c r="D16" t="str">
        <v>TRUE</v>
      </c>
      <c r="E16" t="str">
        <v>left</v>
      </c>
      <c r="F16" t="str">
        <f>IF(SUM($C$2:C16)&lt;=350,"P1",IF(SUM($C$2:C16)&lt;=780,"P2",IF(SUM($C$2:C16)&lt;=1140,"P3",IF(SUM($C$2:C16)&lt;=1880,"P4","P5"))))</f>
        <v>P4</v>
      </c>
      <c r="G16" t="str">
        <v>Manager,RPM</v>
      </c>
      <c r="H16" t="str">
        <v>Leasing,Management</v>
      </c>
      <c r="I16" t="str">
        <v>applied,leased</v>
      </c>
      <c r="J16" t="str">
        <v>Resident email address (PII)</v>
      </c>
    </row>
    <row r="17">
      <c r="A17" t="str">
        <v>application_date</v>
      </c>
      <c r="B17" t="str">
        <v>Applied</v>
      </c>
      <c r="C17">
        <v>110</v>
      </c>
      <c r="D17" t="str">
        <v>TRUE</v>
      </c>
      <c r="E17" t="str">
        <v>center</v>
      </c>
      <c r="F17" t="str">
        <f>IF(SUM($C$2:C17)&lt;=350,"P1",IF(SUM($C$2:C17)&lt;=780,"P2",IF(SUM($C$2:C17)&lt;=1140,"P3",IF(SUM($C$2:C17)&lt;=1880,"P4","P5"))))</f>
        <v>P4</v>
      </c>
      <c r="G17" t="str">
        <v>all</v>
      </c>
      <c r="H17" t="str">
        <v>Leasing,Management</v>
      </c>
      <c r="I17" t="str">
        <v>applied</v>
      </c>
      <c r="J17" t="str">
        <v>Application submission date</v>
      </c>
    </row>
    <row r="18">
      <c r="A18" t="str">
        <v>screening_result</v>
      </c>
      <c r="B18" t="str">
        <v>Screening</v>
      </c>
      <c r="C18">
        <v>110</v>
      </c>
      <c r="D18" t="str">
        <v>TRUE</v>
      </c>
      <c r="E18" t="str">
        <v>center</v>
      </c>
      <c r="F18" t="str">
        <f>IF(SUM($C$2:C18)&lt;=350,"P1",IF(SUM($C$2:C18)&lt;=780,"P2",IF(SUM($C$2:C18)&lt;=1140,"P3",IF(SUM($C$2:C18)&lt;=1880,"P4","P5"))))</f>
        <v>P5</v>
      </c>
      <c r="G18" t="str">
        <v>Manager,RPM</v>
      </c>
      <c r="H18" t="str">
        <v>Leasing,Management</v>
      </c>
      <c r="I18" t="str">
        <v>applied</v>
      </c>
      <c r="J18" t="str">
        <v>Application screening result</v>
      </c>
    </row>
    <row r="19">
      <c r="A19" t="str">
        <v>move_in_date</v>
      </c>
      <c r="B19" t="str">
        <v>Move-In</v>
      </c>
      <c r="C19">
        <v>110</v>
      </c>
      <c r="D19" t="str">
        <v>TRUE</v>
      </c>
      <c r="E19" t="str">
        <v>center</v>
      </c>
      <c r="F19" t="str">
        <f>IF(SUM($C$2:C19)&lt;=350,"P1",IF(SUM($C$2:C19)&lt;=780,"P2",IF(SUM($C$2:C19)&lt;=1140,"P3",IF(SUM($C$2:C19)&lt;=1880,"P4","P5"))))</f>
        <v>P5</v>
      </c>
      <c r="G19" t="str">
        <v>all</v>
      </c>
      <c r="H19" t="str">
        <v>all</v>
      </c>
      <c r="I19" t="str">
        <v>all</v>
      </c>
      <c r="J19" t="str">
        <v>Scheduled/actual move-in date</v>
      </c>
    </row>
    <row r="20">
      <c r="A20" t="str">
        <v>concession_total_pct</v>
      </c>
      <c r="B20" t="str">
        <v>Total Concession %</v>
      </c>
      <c r="C20">
        <v>130</v>
      </c>
      <c r="D20" t="str">
        <v>TRUE</v>
      </c>
      <c r="E20" t="str">
        <v>center</v>
      </c>
      <c r="F20" t="str">
        <f>IF(SUM($C$2:C20)&lt;=350,"P1",IF(SUM($C$2:C20)&lt;=780,"P2",IF(SUM($C$2:C20)&lt;=1140,"P3",IF(SUM($C$2:C20)&lt;=1880,"P4","P5"))))</f>
        <v>P5</v>
      </c>
      <c r="G20" t="str">
        <v>Owner,Manager,RPM</v>
      </c>
      <c r="H20" t="str">
        <v>Management</v>
      </c>
      <c r="I20" t="str">
        <v>applied,leased</v>
      </c>
      <c r="J20" t="str">
        <v>A% - Total concessions as % of market rent</v>
      </c>
    </row>
    <row r="21">
      <c r="A21" t="str">
        <v>concession_display_calc</v>
      </c>
      <c r="B21" t="str">
        <v>C%/A%</v>
      </c>
      <c r="C21">
        <v>90</v>
      </c>
      <c r="D21" t="str">
        <v>TRUE</v>
      </c>
      <c r="E21" t="str">
        <v>center</v>
      </c>
      <c r="F21" t="str">
        <f>IF(SUM($C$2:C21)&lt;=350,"P1",IF(SUM($C$2:C21)&lt;=780,"P2",IF(SUM($C$2:C21)&lt;=1140,"P3",IF(SUM($C$2:C21)&lt;=1880,"P4","P5"))))</f>
        <v>P5</v>
      </c>
      <c r="G21" t="str">
        <v>Owner,Manager,RPM</v>
      </c>
      <c r="H21" t="str">
        <v>Management</v>
      </c>
      <c r="I21" t="str">
        <v>applied,leased</v>
      </c>
      <c r="J21" t="str">
        <v>Concession display (e.g., 5.0%/8.5%)</v>
      </c>
    </row>
    <row r="22">
      <c r="A22" t="str">
        <v>concession_upfront_amount</v>
      </c>
      <c r="B22" t="str">
        <v>Upfront $</v>
      </c>
      <c r="C22">
        <v>100</v>
      </c>
      <c r="D22" t="str">
        <v>TRUE</v>
      </c>
      <c r="E22" t="str">
        <v>right</v>
      </c>
      <c r="F22" t="str">
        <f>IF(SUM($C$2:C22)&lt;=350,"P1",IF(SUM($C$2:C22)&lt;=780,"P2",IF(SUM($C$2:C22)&lt;=1140,"P3",IF(SUM($C$2:C22)&lt;=1880,"P4","P5"))))</f>
        <v>P5</v>
      </c>
      <c r="G22" t="str">
        <v>Owner,Manager,RPM</v>
      </c>
      <c r="H22" t="str">
        <v>Management</v>
      </c>
      <c r="I22" t="str">
        <v>applied,leased</v>
      </c>
      <c r="J22" t="str">
        <v>Upfront dollar concession (e.g., $500 move-in special)</v>
      </c>
    </row>
    <row r="23">
      <c r="A23" t="str">
        <v>leasing_agent</v>
      </c>
      <c r="B23" t="str">
        <v>Agent</v>
      </c>
      <c r="C23">
        <v>120</v>
      </c>
      <c r="D23" t="str">
        <v>TRUE</v>
      </c>
      <c r="E23" t="str">
        <v>left</v>
      </c>
      <c r="F23" t="str">
        <f>IF(SUM($C$2:C23)&lt;=350,"P1",IF(SUM($C$2:C23)&lt;=780,"P2",IF(SUM($C$2:C23)&lt;=1140,"P3",IF(SUM($C$2:C23)&lt;=1880,"P4","P5"))))</f>
        <v>P5</v>
      </c>
      <c r="G23" t="str">
        <v>all</v>
      </c>
      <c r="H23" t="str">
        <v>Leasing,Management</v>
      </c>
      <c r="I23" t="str">
        <v>applied</v>
      </c>
      <c r="J23" t="str">
        <v>Assigned leasing agent</v>
      </c>
    </row>
    <row r="24">
      <c r="A24" t="str">
        <v>lease_start_date</v>
      </c>
      <c r="B24" t="str">
        <v>Lease Start</v>
      </c>
      <c r="C24">
        <v>110</v>
      </c>
      <c r="D24" t="str">
        <v>TRUE</v>
      </c>
      <c r="E24" t="str">
        <v>center</v>
      </c>
      <c r="F24" t="str">
        <f>IF(SUM($C$2:C24)&lt;=350,"P1",IF(SUM($C$2:C24)&lt;=780,"P2",IF(SUM($C$2:C24)&lt;=1140,"P3",IF(SUM($C$2:C24)&lt;=1880,"P4","P5"))))</f>
        <v>P5</v>
      </c>
      <c r="G24" t="str">
        <v>all</v>
      </c>
      <c r="H24" t="str">
        <v>Management</v>
      </c>
      <c r="I24" t="str">
        <v>leased</v>
      </c>
      <c r="J24" t="str">
        <v>Lease start date</v>
      </c>
    </row>
    <row r="25">
      <c r="A25" t="str">
        <v>lease_end_date</v>
      </c>
      <c r="B25" t="str">
        <v>Lease End</v>
      </c>
      <c r="C25">
        <v>110</v>
      </c>
      <c r="D25" t="str">
        <v>TRUE</v>
      </c>
      <c r="E25" t="str">
        <v>center</v>
      </c>
      <c r="F25" t="str">
        <f>IF(SUM($C$2:C25)&lt;=350,"P1",IF(SUM($C$2:C25)&lt;=780,"P2",IF(SUM($C$2:C25)&lt;=1140,"P3",IF(SUM($C$2:C25)&lt;=1880,"P4","P5"))))</f>
        <v>P5</v>
      </c>
      <c r="G25" t="str">
        <v>all</v>
      </c>
      <c r="H25" t="str">
        <v>Management</v>
      </c>
      <c r="I25" t="str">
        <v>leased</v>
      </c>
      <c r="J25" t="str">
        <v>Lease end date</v>
      </c>
    </row>
    <row r="26">
      <c r="A26" t="str">
        <v>lease_rent_amount</v>
      </c>
      <c r="B26" t="str">
        <v>Lease Rent</v>
      </c>
      <c r="C26">
        <v>100</v>
      </c>
      <c r="D26" t="str">
        <v>TRUE</v>
      </c>
      <c r="E26" t="str">
        <v>right</v>
      </c>
      <c r="F26" t="str">
        <f>IF(SUM($C$2:C26)&lt;=350,"P1",IF(SUM($C$2:C26)&lt;=780,"P2",IF(SUM($C$2:C26)&lt;=1140,"P3",IF(SUM($C$2:C26)&lt;=1880,"P4","P5"))))</f>
        <v>P5</v>
      </c>
      <c r="G26" t="str">
        <v>Owner,Manager,RPM</v>
      </c>
      <c r="H26" t="str">
        <v>Management</v>
      </c>
      <c r="I26" t="str">
        <v>leased</v>
      </c>
      <c r="J26" t="str">
        <v>Executed lease rent amount</v>
      </c>
    </row>
    <row r="27">
      <c r="A27" t="str">
        <v>pricing_comment</v>
      </c>
      <c r="B27" t="str">
        <v>Pricing Note</v>
      </c>
      <c r="C27">
        <v>150</v>
      </c>
      <c r="D27" t="str">
        <v>FALSE</v>
      </c>
      <c r="E27" t="str">
        <v>left</v>
      </c>
      <c r="F27" t="str">
        <f>IF(SUM($C$2:C27)&lt;=350,"P1",IF(SUM($C$2:C27)&lt;=780,"P2",IF(SUM($C$2:C27)&lt;=1140,"P3",IF(SUM($C$2:C27)&lt;=1880,"P4","P5"))))</f>
        <v>P5</v>
      </c>
      <c r="G27" t="str">
        <v>Manager,RPM</v>
      </c>
      <c r="H27" t="str">
        <v>Management</v>
      </c>
      <c r="I27" t="str">
        <v>all</v>
      </c>
      <c r="J27" t="str">
        <v>Latest pricing override comment/note</v>
      </c>
    </row>
  </sheetData>
  <ignoredErrors>
    <ignoredError numberStoredAsText="1" sqref="A1:J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Parameter</v>
      </c>
      <c r="B1" t="str">
        <v>Value</v>
      </c>
    </row>
    <row r="2">
      <c r="A2" t="str">
        <v>table_name</v>
      </c>
      <c r="B2" t="str">
        <v>availabilities</v>
      </c>
    </row>
    <row r="3">
      <c r="A3" t="str">
        <v>file_path</v>
      </c>
      <c r="B3" t="str">
        <v>layers/ops/pages/office/availabilities/index.vue</v>
      </c>
    </row>
    <row r="4">
      <c r="A4" t="str">
        <v>has_filter_groups</v>
      </c>
      <c r="B4" t="str">
        <v>true</v>
      </c>
    </row>
    <row r="5">
      <c r="A5" t="str">
        <v>default_sort</v>
      </c>
      <c r="B5" t="str">
        <v>available_date</v>
      </c>
    </row>
    <row r="6">
      <c r="A6" t="str">
        <v>default_sort_direction</v>
      </c>
      <c r="B6" t="str">
        <v>asc</v>
      </c>
    </row>
    <row r="7">
      <c r="A7" t="str">
        <v>pagination</v>
      </c>
      <c r="B7" t="str">
        <v>true</v>
      </c>
    </row>
    <row r="8">
      <c r="A8" t="str">
        <v>page_size</v>
      </c>
      <c r="B8" t="str">
        <v>25</v>
      </c>
    </row>
    <row r="9">
      <c r="A9" t="str">
        <v>export</v>
      </c>
      <c r="B9" t="str">
        <v>true</v>
      </c>
    </row>
    <row r="10">
      <c r="A10" t="str">
        <v>clickable_rows</v>
      </c>
      <c r="B10" t="str">
        <v>true</v>
      </c>
    </row>
    <row r="11">
      <c r="A11" t="str">
        <v>notes</v>
      </c>
      <c r="B11" t="str">
        <v>Leasing pipeline with 4 filter groups: All, Available, Applied, Leased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</v>
      </c>
      <c r="C2" t="str">
        <v>All units in leasing pipeline</v>
      </c>
    </row>
    <row r="3">
      <c r="A3" t="str">
        <v>available</v>
      </c>
      <c r="B3" t="str">
        <v>Available</v>
      </c>
      <c r="C3" t="str">
        <v>Vacant units ready for leasing</v>
      </c>
    </row>
    <row r="4">
      <c r="A4" t="str">
        <v>applied</v>
      </c>
      <c r="B4" t="str">
        <v>Applied</v>
      </c>
      <c r="C4" t="str">
        <v>Units with pending applications</v>
      </c>
    </row>
    <row r="5">
      <c r="A5" t="str">
        <v>leased</v>
      </c>
      <c r="B5" t="str">
        <v>Leased</v>
      </c>
      <c r="C5" t="str">
        <v>Units with executed future leases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80"/>
  <sheetViews>
    <sheetView workbookViewId="0" rightToLeft="0"/>
  </sheetViews>
  <sheetData>
    <row r="1">
      <c r="A1" t="str">
        <v>Table Configuration Template - Instructions</v>
      </c>
    </row>
    <row r="2">
      <c r="A2" t="str">
        <v/>
      </c>
    </row>
    <row r="3">
      <c r="A3" t="str">
        <v>QUICK START:</v>
      </c>
    </row>
    <row r="4">
      <c r="A4" t="str">
        <v>1. Go to "Table Configuration" sheet and fill in table metadata (name, file path, etc.)</v>
      </c>
    </row>
    <row r="5">
      <c r="A5" t="str">
        <v>2. Go to "Column Definitions" sheet and add one row per column</v>
      </c>
    </row>
    <row r="6">
      <c r="A6" t="str">
        <v>3. Fill in: key, label, width, sortable, align</v>
      </c>
    </row>
    <row r="7">
      <c r="A7" t="str">
        <v>4. Priority auto-calculates based on cumulative width</v>
      </c>
    </row>
    <row r="8">
      <c r="A8" t="str">
        <v>5. Set roles/departments/filter_groups (or use "all")</v>
      </c>
    </row>
    <row r="9">
      <c r="A9" t="str">
        <v>6. Run: node --loader tsx utils/table-config-parser.ts path/to/your-file.xlsx</v>
      </c>
    </row>
    <row r="10">
      <c r="A10" t="str">
        <v/>
      </c>
    </row>
    <row r="11">
      <c r="A11" t="str">
        <v>COLUMN DEFINITIONS:</v>
      </c>
    </row>
    <row r="12">
      <c r="A12" t="str">
        <v>- key: Column identifier for TypeScript (e.g., unit_name)</v>
      </c>
    </row>
    <row r="13">
      <c r="A13" t="str">
        <v>- label: Display label in table header (e.g., "Unit")</v>
      </c>
    </row>
    <row r="14">
      <c r="A14" t="str">
        <v>- width: Column width in pixels (e.g., 120)</v>
      </c>
    </row>
    <row r="15">
      <c r="A15" t="str">
        <v>- sortable: TRUE or FALSE</v>
      </c>
    </row>
    <row r="16">
      <c r="A16" t="str">
        <v>- align: left, center, right, or blank</v>
      </c>
    </row>
    <row r="17">
      <c r="A17" t="str">
        <v>- priority: AUTO-CALCULATED - Do not edit manually!</v>
      </c>
    </row>
    <row r="18">
      <c r="A18" t="str">
        <v>- roles: Comma-separated roles or "all" (e.g., admin,finance)</v>
      </c>
    </row>
    <row r="19">
      <c r="A19" t="str">
        <v>- departments: Comma-separated departments or "all" (e.g., operations,leasing)</v>
      </c>
    </row>
    <row r="20">
      <c r="A20" t="str">
        <v>- filter_groups: Comma-separated filter groups or "all" (e.g., available,all)</v>
      </c>
    </row>
    <row r="21">
      <c r="A21" t="str">
        <v>- notes: Your comments/reasoning (e.g., "Contact PII")</v>
      </c>
    </row>
    <row r="22">
      <c r="A22" t="str">
        <v/>
      </c>
    </row>
    <row r="23">
      <c r="A23" t="str">
        <v>PRIORITY AUTO-CALCULATION:</v>
      </c>
    </row>
    <row r="24">
      <c r="A24" t="str">
        <v>The priority column uses this formula:</v>
      </c>
    </row>
    <row r="25">
      <c r="A25" t="str">
        <v>=IF(SUM($C$2:C2)&lt;=350,"P1",IF(SUM($C$2:C2)&lt;=780,"P2",IF(SUM($C$2:C2)&lt;=1140,"P3",IF(SUM($C$2:C2)&lt;=1880,"P4","P5"))))</v>
      </c>
    </row>
    <row r="26">
      <c r="A26" t="str">
        <v/>
      </c>
    </row>
    <row r="27">
      <c r="A27" t="str">
        <v>It calculates cumulative width from first column to current row:</v>
      </c>
    </row>
    <row r="28">
      <c r="A28" t="str">
        <v>- P1: 0-350px (mobile - always visible)</v>
      </c>
    </row>
    <row r="29">
      <c r="A29" t="str">
        <v>- P2: 351-780px (tablet+)</v>
      </c>
    </row>
    <row r="30">
      <c r="A30" t="str">
        <v>- P3: 781-1140px (desktop basic)</v>
      </c>
    </row>
    <row r="31">
      <c r="A31" t="str">
        <v>- P4: 1141-1880px (QHD baseline ⭐)</v>
      </c>
    </row>
    <row r="32">
      <c r="A32" t="str">
        <v>- P5: 1881px+ (4K enhanced)</v>
      </c>
    </row>
    <row r="33">
      <c r="A33" t="str">
        <v/>
      </c>
    </row>
    <row r="34">
      <c r="A34" t="str">
        <v>COLUMN WIDTH GUIDELINES:</v>
      </c>
    </row>
    <row r="35">
      <c r="A35" t="str">
        <v>- Narrow: 60-90px (Status, Icon, Checkbox, ID)</v>
      </c>
    </row>
    <row r="36">
      <c r="A36" t="str">
        <v>- Medium: 100-150px (Unit Name, Code, Short Text)</v>
      </c>
    </row>
    <row r="37">
      <c r="A37" t="str">
        <v>- Wide: 150-250px (Names, Emails, Addresses)</v>
      </c>
    </row>
    <row r="38">
      <c r="A38" t="str">
        <v>- Actions: 100-120px (Dropdown, Buttons)</v>
      </c>
    </row>
    <row r="39">
      <c r="A39" t="str">
        <v>- Average: ~130px</v>
      </c>
    </row>
    <row r="40">
      <c r="A40" t="str">
        <v/>
      </c>
    </row>
    <row r="41">
      <c r="A41" t="str">
        <v>PRIORITY DISTRIBUTION TARGETS:</v>
      </c>
    </row>
    <row r="42">
      <c r="A42" t="str">
        <v>- P1: 2-3 columns (~250-350px) - Bare minimum for identification</v>
      </c>
    </row>
    <row r="43">
      <c r="A43" t="str">
        <v>- P2: +3-4 columns (~650-780px) - Essential context</v>
      </c>
    </row>
    <row r="44">
      <c r="A44" t="str">
        <v>- P3: +2-3 columns (~950-1140px) - Key operational data</v>
      </c>
    </row>
    <row r="45">
      <c r="A45" t="str">
        <v>- P4: +4-5 columns (~1500-1880px) - Full dataset (QHD baseline)</v>
      </c>
    </row>
    <row r="46">
      <c r="A46" t="str">
        <v>- P5: +4-5 columns (~2000-2520px) - Maximum detail (4K)</v>
      </c>
    </row>
    <row r="47">
      <c r="A47" t="str">
        <v/>
      </c>
    </row>
    <row r="48">
      <c r="A48" t="str">
        <v>ROLE/DEPARTMENT RESTRICTIONS:</v>
      </c>
    </row>
    <row r="49">
      <c r="A49" t="str">
        <v>When to restrict:</v>
      </c>
    </row>
    <row r="50">
      <c r="A50" t="str">
        <v>- PII (emails, phones) → leasing, operations, admin only</v>
      </c>
    </row>
    <row r="51">
      <c r="A51" t="str">
        <v>- Financial data (costs, concessions) → finance, admin only</v>
      </c>
    </row>
    <row r="52">
      <c r="A52" t="str">
        <v>- Metadata (created_at, updated_at) → admin only</v>
      </c>
    </row>
    <row r="53">
      <c r="A53" t="str">
        <v>- Assignments (leasing agent, tech) → relevant departments only</v>
      </c>
    </row>
    <row r="54">
      <c r="A54" t="str">
        <v/>
      </c>
    </row>
    <row r="55">
      <c r="A55" t="str">
        <v>When NOT to restrict:</v>
      </c>
    </row>
    <row r="56">
      <c r="A56" t="str">
        <v>- Core identification (unit, name, status)</v>
      </c>
    </row>
    <row r="57">
      <c r="A57" t="str">
        <v>- Basic context (building, floor plan)</v>
      </c>
    </row>
    <row r="58">
      <c r="A58" t="str">
        <v>- Operational dates (move-in, lease end)</v>
      </c>
    </row>
    <row r="59">
      <c r="A59" t="str">
        <v/>
      </c>
    </row>
    <row r="60">
      <c r="A60" t="str">
        <v>FILTER GROUPS:</v>
      </c>
    </row>
    <row r="61">
      <c r="A61" t="str">
        <v>Use filter groups when:</v>
      </c>
    </row>
    <row r="62">
      <c r="A62" t="str">
        <v>- Table has distinct "modes" or "views" (Available/Applied/Leased)</v>
      </c>
    </row>
    <row r="63">
      <c r="A63" t="str">
        <v>- Column relevance varies by context</v>
      </c>
    </row>
    <row r="64">
      <c r="A64" t="str">
        <v>- You want to reduce visual clutter</v>
      </c>
    </row>
    <row r="65">
      <c r="A65" t="str">
        <v/>
      </c>
    </row>
    <row r="66">
      <c r="A66" t="str">
        <v>If using filter groups:</v>
      </c>
    </row>
    <row r="67">
      <c r="A67" t="str">
        <v>1. Set "has_filter_groups = TRUE" in Table Configuration sheet</v>
      </c>
    </row>
    <row r="68">
      <c r="A68" t="str">
        <v>2. Go to "Filter Groups" sheet and define each group</v>
      </c>
    </row>
    <row r="69">
      <c r="A69" t="str">
        <v>3. In Column Definitions, specify which groups each column belongs to</v>
      </c>
    </row>
    <row r="70">
      <c r="A70" t="str">
        <v/>
      </c>
    </row>
    <row r="71">
      <c r="A71" t="str">
        <v>OUTPUT:</v>
      </c>
    </row>
    <row r="72">
      <c r="A72" t="str">
        <v>The parser will generate a .generated.ts file with:</v>
      </c>
    </row>
    <row r="73">
      <c r="A73" t="str">
        <v>- Formatted column definitions with priority sections</v>
      </c>
    </row>
    <row r="74">
      <c r="A74" t="str">
        <v>- Filter group mappings (if applicable)</v>
      </c>
    </row>
    <row r="75">
      <c r="A75" t="str">
        <v>- Role-based column visibility rules</v>
      </c>
    </row>
    <row r="76">
      <c r="A76" t="str">
        <v>- Department-based column visibility rules</v>
      </c>
    </row>
    <row r="77">
      <c r="A77" t="str">
        <v/>
      </c>
    </row>
    <row r="78">
      <c r="A78" t="str">
        <v>Copy the generated code into your Vue component and customize the cell templates.</v>
      </c>
    </row>
    <row r="79">
      <c r="A79" t="str">
        <v/>
      </c>
    </row>
    <row r="80">
      <c r="A80" t="str">
        <v>For detailed documentation, see: /docs/tools/EXCEL_TABLE_CONFIG_TEMPLATE.md</v>
      </c>
    </row>
  </sheetData>
  <ignoredErrors>
    <ignoredError numberStoredAsText="1" sqref="A1:A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